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ffic\OneDrive - Ferntree Rainforest Lodge\Far North Escapes\"/>
    </mc:Choice>
  </mc:AlternateContent>
  <xr:revisionPtr revIDLastSave="0" documentId="13_ncr:1_{825EC3B9-1C0D-4818-8975-67984A4A33DE}" xr6:coauthVersionLast="47" xr6:coauthVersionMax="47" xr10:uidLastSave="{00000000-0000-0000-0000-000000000000}"/>
  <bookViews>
    <workbookView xWindow="-108" yWindow="-108" windowWidth="23256" windowHeight="12576" tabRatio="775" xr2:uid="{9DDCB54D-A540-4287-8306-EE4CD9C8E941}"/>
  </bookViews>
  <sheets>
    <sheet name="HOME" sheetId="39" r:id="rId1"/>
    <sheet name="day_1" sheetId="19" r:id="rId2"/>
    <sheet name="day_2" sheetId="25" r:id="rId3"/>
    <sheet name="day_3" sheetId="27" r:id="rId4"/>
    <sheet name="day_4" sheetId="28" r:id="rId5"/>
    <sheet name="day_5" sheetId="30" r:id="rId6"/>
    <sheet name="day_6" sheetId="31" r:id="rId7"/>
    <sheet name="day_7" sheetId="32" r:id="rId8"/>
    <sheet name="day_8" sheetId="33" r:id="rId9"/>
    <sheet name="day_9" sheetId="34" r:id="rId10"/>
    <sheet name="day_10" sheetId="35" r:id="rId11"/>
    <sheet name="day_11" sheetId="36" r:id="rId12"/>
    <sheet name="day_12" sheetId="40" r:id="rId13"/>
    <sheet name="Food Serves" sheetId="4" r:id="rId14"/>
    <sheet name="Guide Food List" sheetId="1" r:id="rId15"/>
    <sheet name="Rest Runsheet Food" sheetId="6" r:id="rId16"/>
    <sheet name="Runsheet" sheetId="12" r:id="rId17"/>
    <sheet name="data_formula_legend" sheetId="5" r:id="rId18"/>
    <sheet name="research_links" sheetId="41" r:id="rId19"/>
    <sheet name="Sheet2" sheetId="43" r:id="rId20"/>
  </sheets>
  <externalReferences>
    <externalReference r:id="rId21"/>
  </externalReferences>
  <definedNames>
    <definedName name="FiscalStartDate">'[1]Company Setup'!$G$4</definedName>
    <definedName name="_xlnm.Print_Area" localSheetId="1">day_1!$D$1:$I$90</definedName>
    <definedName name="_xlnm.Print_Area" localSheetId="10">day_10!$D$1:$I$91</definedName>
    <definedName name="_xlnm.Print_Area" localSheetId="11">day_11!$D$1:$I$94</definedName>
    <definedName name="_xlnm.Print_Area" localSheetId="2">day_2!$D$1:$I$89</definedName>
    <definedName name="_xlnm.Print_Area" localSheetId="3">day_3!$D$1:$I$90</definedName>
    <definedName name="_xlnm.Print_Area" localSheetId="4">day_4!$D$1:$I$88</definedName>
    <definedName name="_xlnm.Print_Area" localSheetId="5">day_5!$D$1:$I$91</definedName>
    <definedName name="_xlnm.Print_Area" localSheetId="6">day_6!$D$1:$I$90</definedName>
    <definedName name="_xlnm.Print_Area" localSheetId="7">day_7!$D$1:$I$90</definedName>
    <definedName name="_xlnm.Print_Area" localSheetId="8">day_8!$D$1:$I$89</definedName>
    <definedName name="_xlnm.Print_Area" localSheetId="9">day_9!$D$1:$I$89</definedName>
    <definedName name="_xlnm.Print_Area" localSheetId="15">'Rest Runsheet Food'!$D$3:$AC$26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80" i="6" l="1" a="1"/>
  <c r="D80" i="6" s="1"/>
  <c r="AC40" i="4"/>
  <c r="Q16" i="4"/>
  <c r="E83" i="4"/>
  <c r="E82" i="4"/>
  <c r="E81" i="4"/>
  <c r="E80" i="4"/>
  <c r="E79" i="4"/>
  <c r="E77" i="4"/>
  <c r="E76" i="4"/>
  <c r="E75" i="4"/>
  <c r="E74" i="4"/>
  <c r="E73" i="4"/>
  <c r="E68" i="4"/>
  <c r="E71" i="4"/>
  <c r="E70" i="4"/>
  <c r="E69" i="4"/>
  <c r="E67" i="4"/>
  <c r="E65" i="4"/>
  <c r="E64" i="4"/>
  <c r="E63" i="4"/>
  <c r="E62" i="4"/>
  <c r="E61" i="4"/>
  <c r="E59" i="4"/>
  <c r="E58" i="4"/>
  <c r="E57" i="4"/>
  <c r="E55" i="4"/>
  <c r="E56" i="4"/>
  <c r="E52" i="4"/>
  <c r="E51" i="4"/>
  <c r="E45" i="4"/>
  <c r="E40" i="4"/>
  <c r="E50" i="4"/>
  <c r="E49" i="4"/>
  <c r="E48" i="4"/>
  <c r="E44" i="4"/>
  <c r="E35" i="4"/>
  <c r="S38" i="4"/>
  <c r="E33" i="4"/>
  <c r="E31" i="4"/>
  <c r="E32" i="4"/>
  <c r="E34" i="4"/>
  <c r="D24" i="4"/>
  <c r="E24" i="4"/>
  <c r="F24" i="4"/>
  <c r="G24" i="4"/>
  <c r="D23" i="4"/>
  <c r="E23" i="4"/>
  <c r="F23" i="4"/>
  <c r="G23" i="4"/>
  <c r="D22" i="4"/>
  <c r="E22" i="4"/>
  <c r="F22" i="4"/>
  <c r="G22" i="4"/>
  <c r="D41" i="36"/>
  <c r="E41" i="36"/>
  <c r="F41" i="36"/>
  <c r="G41" i="36"/>
  <c r="H41" i="36"/>
  <c r="I41" i="36"/>
  <c r="E42" i="36"/>
  <c r="F42" i="36"/>
  <c r="G42" i="36"/>
  <c r="H42" i="36"/>
  <c r="I42" i="36"/>
  <c r="D17" i="36"/>
  <c r="E17" i="36"/>
  <c r="F17" i="36"/>
  <c r="G17" i="36"/>
  <c r="D18" i="36"/>
  <c r="E18" i="36"/>
  <c r="F18" i="36"/>
  <c r="G18" i="36"/>
  <c r="D12" i="36"/>
  <c r="E12" i="36"/>
  <c r="F12" i="36"/>
  <c r="G12" i="36"/>
  <c r="D13" i="36"/>
  <c r="E13" i="36"/>
  <c r="F13" i="36"/>
  <c r="G13" i="36"/>
  <c r="D14" i="36"/>
  <c r="E14" i="36"/>
  <c r="F14" i="36"/>
  <c r="G14" i="36"/>
  <c r="D15" i="36"/>
  <c r="E15" i="36"/>
  <c r="F15" i="36"/>
  <c r="G15" i="36"/>
  <c r="D16" i="36"/>
  <c r="E16" i="36"/>
  <c r="F16" i="36"/>
  <c r="G16" i="36"/>
  <c r="D41" i="35"/>
  <c r="E41" i="35"/>
  <c r="F41" i="35"/>
  <c r="G41" i="35"/>
  <c r="H41" i="35"/>
  <c r="I41" i="35"/>
  <c r="E42" i="35"/>
  <c r="F42" i="35"/>
  <c r="G42" i="35"/>
  <c r="H42" i="35"/>
  <c r="I42" i="35"/>
  <c r="D17" i="35"/>
  <c r="E17" i="35"/>
  <c r="F17" i="35"/>
  <c r="G17" i="35"/>
  <c r="D18" i="35"/>
  <c r="E18" i="35"/>
  <c r="F18" i="35"/>
  <c r="G18" i="35"/>
  <c r="D12" i="35"/>
  <c r="E12" i="35"/>
  <c r="F12" i="35"/>
  <c r="G12" i="35"/>
  <c r="D13" i="35"/>
  <c r="E13" i="35"/>
  <c r="F13" i="35"/>
  <c r="G13" i="35"/>
  <c r="D14" i="35"/>
  <c r="E14" i="35"/>
  <c r="F14" i="35"/>
  <c r="G14" i="35"/>
  <c r="D15" i="35"/>
  <c r="E15" i="35"/>
  <c r="F15" i="35"/>
  <c r="G15" i="35"/>
  <c r="D16" i="35"/>
  <c r="E16" i="35"/>
  <c r="F16" i="35"/>
  <c r="G16" i="35"/>
  <c r="D40" i="34"/>
  <c r="E40" i="34"/>
  <c r="F40" i="34"/>
  <c r="G40" i="34"/>
  <c r="H40" i="34"/>
  <c r="I40" i="34"/>
  <c r="E41" i="34"/>
  <c r="F41" i="34"/>
  <c r="G41" i="34"/>
  <c r="H41" i="34"/>
  <c r="I41" i="34"/>
  <c r="D12" i="34"/>
  <c r="E12" i="34"/>
  <c r="F12" i="34"/>
  <c r="G12" i="34"/>
  <c r="D13" i="34"/>
  <c r="E13" i="34"/>
  <c r="F13" i="34"/>
  <c r="G13" i="34"/>
  <c r="D14" i="34"/>
  <c r="E14" i="34"/>
  <c r="F14" i="34"/>
  <c r="G14" i="34"/>
  <c r="D15" i="34"/>
  <c r="E15" i="34"/>
  <c r="F15" i="34"/>
  <c r="G15" i="34"/>
  <c r="D16" i="34"/>
  <c r="E16" i="34"/>
  <c r="F16" i="34"/>
  <c r="G16" i="34"/>
  <c r="D17" i="34"/>
  <c r="E17" i="34"/>
  <c r="F17" i="34"/>
  <c r="G17" i="34"/>
  <c r="D18" i="33"/>
  <c r="E18" i="33"/>
  <c r="F18" i="33"/>
  <c r="G18" i="33"/>
  <c r="D17" i="33"/>
  <c r="E17" i="33"/>
  <c r="F17" i="33"/>
  <c r="G17" i="33"/>
  <c r="D12" i="33"/>
  <c r="E12" i="33"/>
  <c r="F12" i="33"/>
  <c r="G12" i="33"/>
  <c r="D13" i="33"/>
  <c r="E13" i="33"/>
  <c r="F13" i="33"/>
  <c r="G13" i="33"/>
  <c r="D14" i="33"/>
  <c r="E14" i="33"/>
  <c r="F14" i="33"/>
  <c r="G14" i="33"/>
  <c r="D15" i="33"/>
  <c r="E15" i="33"/>
  <c r="F15" i="33"/>
  <c r="G15" i="33"/>
  <c r="D16" i="33"/>
  <c r="E16" i="33"/>
  <c r="F16" i="33"/>
  <c r="G16" i="33"/>
  <c r="D41" i="32"/>
  <c r="E41" i="32"/>
  <c r="F41" i="32"/>
  <c r="G41" i="32"/>
  <c r="H41" i="32"/>
  <c r="I41" i="32"/>
  <c r="E42" i="32"/>
  <c r="F42" i="32"/>
  <c r="G42" i="32"/>
  <c r="H42" i="32"/>
  <c r="I42" i="32"/>
  <c r="D17" i="32"/>
  <c r="E17" i="32"/>
  <c r="F17" i="32"/>
  <c r="G17" i="32"/>
  <c r="D18" i="32"/>
  <c r="E18" i="32"/>
  <c r="F18" i="32"/>
  <c r="G18" i="32"/>
  <c r="D12" i="32"/>
  <c r="E12" i="32"/>
  <c r="F12" i="32"/>
  <c r="G12" i="32"/>
  <c r="D13" i="32"/>
  <c r="E13" i="32"/>
  <c r="F13" i="32"/>
  <c r="G13" i="32"/>
  <c r="D14" i="32"/>
  <c r="E14" i="32"/>
  <c r="F14" i="32"/>
  <c r="G14" i="32"/>
  <c r="D15" i="32"/>
  <c r="E15" i="32"/>
  <c r="F15" i="32"/>
  <c r="G15" i="32"/>
  <c r="D16" i="32"/>
  <c r="E16" i="32"/>
  <c r="F16" i="32"/>
  <c r="G16" i="32"/>
  <c r="D43" i="30"/>
  <c r="E43" i="30"/>
  <c r="F43" i="30"/>
  <c r="G43" i="30"/>
  <c r="H43" i="30"/>
  <c r="I43" i="30"/>
  <c r="E44" i="30"/>
  <c r="F44" i="30"/>
  <c r="G44" i="30"/>
  <c r="H44" i="30"/>
  <c r="I44" i="30"/>
  <c r="D41" i="31"/>
  <c r="E41" i="31"/>
  <c r="F41" i="31"/>
  <c r="G41" i="31"/>
  <c r="H41" i="31"/>
  <c r="I41" i="31"/>
  <c r="E42" i="31"/>
  <c r="F42" i="31"/>
  <c r="G42" i="31"/>
  <c r="H42" i="31"/>
  <c r="I42" i="31"/>
  <c r="D17" i="31"/>
  <c r="E17" i="31"/>
  <c r="F17" i="31"/>
  <c r="G17" i="31"/>
  <c r="D18" i="31"/>
  <c r="E18" i="31"/>
  <c r="F18" i="31"/>
  <c r="G18" i="31"/>
  <c r="D12" i="31"/>
  <c r="E12" i="31"/>
  <c r="F12" i="31"/>
  <c r="G12" i="31"/>
  <c r="D13" i="31"/>
  <c r="E13" i="31"/>
  <c r="F13" i="31"/>
  <c r="G13" i="31"/>
  <c r="D14" i="31"/>
  <c r="E14" i="31"/>
  <c r="F14" i="31"/>
  <c r="G14" i="31"/>
  <c r="D15" i="31"/>
  <c r="E15" i="31"/>
  <c r="F15" i="31"/>
  <c r="G15" i="31"/>
  <c r="D16" i="31"/>
  <c r="E16" i="31"/>
  <c r="F16" i="31"/>
  <c r="G16" i="31"/>
  <c r="D17" i="30"/>
  <c r="G17" i="30"/>
  <c r="F17" i="30"/>
  <c r="E17" i="30"/>
  <c r="G16" i="30"/>
  <c r="F16" i="30"/>
  <c r="E16" i="30"/>
  <c r="D16" i="30"/>
  <c r="G15" i="30"/>
  <c r="F15" i="30"/>
  <c r="E15" i="30"/>
  <c r="D15" i="30"/>
  <c r="G14" i="30"/>
  <c r="F14" i="30"/>
  <c r="E14" i="30"/>
  <c r="D14" i="30"/>
  <c r="G13" i="30"/>
  <c r="F13" i="30"/>
  <c r="E13" i="30"/>
  <c r="D13" i="30"/>
  <c r="G12" i="30"/>
  <c r="F12" i="30"/>
  <c r="E12" i="30"/>
  <c r="D12" i="30"/>
  <c r="G11" i="30"/>
  <c r="F11" i="30"/>
  <c r="E11" i="30"/>
  <c r="D11" i="30"/>
  <c r="G10" i="30"/>
  <c r="F10" i="30"/>
  <c r="E10" i="30"/>
  <c r="D10" i="30"/>
  <c r="G9" i="30"/>
  <c r="F9" i="30"/>
  <c r="E9" i="30"/>
  <c r="D9" i="30"/>
  <c r="G8" i="30"/>
  <c r="F8" i="30"/>
  <c r="E8" i="30"/>
  <c r="D8" i="30"/>
  <c r="G7" i="30"/>
  <c r="F7" i="30"/>
  <c r="E7" i="30"/>
  <c r="D7" i="30"/>
  <c r="G6" i="30"/>
  <c r="F6" i="30"/>
  <c r="E6" i="30"/>
  <c r="D6" i="30"/>
  <c r="D40" i="28"/>
  <c r="E40" i="28"/>
  <c r="F40" i="28"/>
  <c r="G40" i="28"/>
  <c r="H40" i="28"/>
  <c r="I40" i="28"/>
  <c r="E41" i="28"/>
  <c r="F41" i="28"/>
  <c r="G41" i="28"/>
  <c r="H41" i="28"/>
  <c r="I41" i="28"/>
  <c r="D17" i="28"/>
  <c r="E17" i="28"/>
  <c r="F17" i="28"/>
  <c r="G17" i="28"/>
  <c r="D16" i="28"/>
  <c r="E16" i="28"/>
  <c r="F16" i="28"/>
  <c r="G16" i="28"/>
  <c r="D15" i="28"/>
  <c r="E15" i="28"/>
  <c r="F15" i="28"/>
  <c r="G15" i="28"/>
  <c r="D12" i="28"/>
  <c r="E12" i="28"/>
  <c r="F12" i="28"/>
  <c r="G12" i="28"/>
  <c r="D13" i="28"/>
  <c r="E13" i="28"/>
  <c r="F13" i="28"/>
  <c r="G13" i="28"/>
  <c r="D14" i="28"/>
  <c r="E14" i="28"/>
  <c r="F14" i="28"/>
  <c r="G14" i="28"/>
  <c r="D40" i="27"/>
  <c r="E40" i="27"/>
  <c r="F40" i="27"/>
  <c r="G40" i="27"/>
  <c r="H40" i="27"/>
  <c r="I40" i="27"/>
  <c r="E41" i="27"/>
  <c r="F41" i="27"/>
  <c r="G41" i="27"/>
  <c r="H41" i="27"/>
  <c r="I41" i="27"/>
  <c r="D16" i="27"/>
  <c r="E16" i="27"/>
  <c r="F16" i="27"/>
  <c r="G16" i="27"/>
  <c r="D12" i="27"/>
  <c r="E12" i="27"/>
  <c r="F12" i="27"/>
  <c r="G12" i="27"/>
  <c r="D13" i="27"/>
  <c r="E13" i="27"/>
  <c r="F13" i="27"/>
  <c r="G13" i="27"/>
  <c r="D14" i="27"/>
  <c r="E14" i="27"/>
  <c r="F14" i="27"/>
  <c r="G14" i="27"/>
  <c r="D15" i="27"/>
  <c r="E15" i="27"/>
  <c r="F15" i="27"/>
  <c r="G15" i="27"/>
  <c r="D17" i="27"/>
  <c r="E17" i="27"/>
  <c r="F17" i="27"/>
  <c r="G17" i="27"/>
  <c r="D40" i="25"/>
  <c r="E40" i="25"/>
  <c r="F40" i="25"/>
  <c r="G40" i="25"/>
  <c r="H40" i="25"/>
  <c r="I40" i="25"/>
  <c r="E41" i="25"/>
  <c r="F41" i="25"/>
  <c r="G41" i="25"/>
  <c r="H41" i="25"/>
  <c r="I41" i="25"/>
  <c r="D41" i="33"/>
  <c r="E41" i="33"/>
  <c r="F41" i="33"/>
  <c r="G41" i="33"/>
  <c r="H41" i="33"/>
  <c r="I41" i="33"/>
  <c r="E42" i="33"/>
  <c r="F42" i="33"/>
  <c r="G42" i="33"/>
  <c r="H42" i="33"/>
  <c r="I42" i="33"/>
  <c r="D17" i="25"/>
  <c r="E17" i="25"/>
  <c r="F17" i="25"/>
  <c r="G17" i="25"/>
  <c r="D16" i="25"/>
  <c r="E16" i="25"/>
  <c r="F16" i="25"/>
  <c r="G16" i="25"/>
  <c r="D15" i="25"/>
  <c r="E15" i="25"/>
  <c r="F15" i="25"/>
  <c r="G15" i="25"/>
  <c r="D14" i="25"/>
  <c r="E14" i="25"/>
  <c r="F14" i="25"/>
  <c r="G14" i="25"/>
  <c r="D12" i="25"/>
  <c r="E12" i="25"/>
  <c r="F12" i="25"/>
  <c r="G12" i="25"/>
  <c r="D13" i="25"/>
  <c r="E13" i="25"/>
  <c r="F13" i="25"/>
  <c r="G13" i="25"/>
  <c r="D40" i="19"/>
  <c r="E40" i="19"/>
  <c r="F40" i="19"/>
  <c r="G40" i="19"/>
  <c r="H40" i="19"/>
  <c r="I40" i="19"/>
  <c r="E41" i="19"/>
  <c r="F41" i="19"/>
  <c r="G41" i="19"/>
  <c r="H41" i="19"/>
  <c r="I41" i="19"/>
  <c r="D17" i="19"/>
  <c r="E17" i="19"/>
  <c r="F17" i="19"/>
  <c r="G17" i="19"/>
  <c r="D15" i="19"/>
  <c r="E15" i="19"/>
  <c r="F15" i="19"/>
  <c r="G15" i="19"/>
  <c r="D16" i="19"/>
  <c r="E16" i="19"/>
  <c r="F16" i="19"/>
  <c r="G16" i="19"/>
  <c r="BA11" i="12"/>
  <c r="BB11" i="12"/>
  <c r="BC11" i="12"/>
  <c r="BD11" i="12"/>
  <c r="BE11" i="12"/>
  <c r="BA12" i="12"/>
  <c r="BB12" i="12"/>
  <c r="BC12" i="12"/>
  <c r="BD12" i="12"/>
  <c r="BE12" i="12"/>
  <c r="BA13" i="12"/>
  <c r="BB13" i="12"/>
  <c r="BC13" i="12"/>
  <c r="BD13" i="12"/>
  <c r="BE13" i="12"/>
  <c r="AT13" i="12"/>
  <c r="AU13" i="12"/>
  <c r="AV13" i="12"/>
  <c r="AW13" i="12"/>
  <c r="AT11" i="12"/>
  <c r="AU11" i="12"/>
  <c r="AV11" i="12"/>
  <c r="AW11" i="12"/>
  <c r="AT12" i="12"/>
  <c r="AU12" i="12"/>
  <c r="AV12" i="12"/>
  <c r="AW12" i="12"/>
  <c r="AV10" i="12"/>
  <c r="AW10" i="12"/>
  <c r="AU10" i="12"/>
  <c r="AM12" i="12"/>
  <c r="AE10" i="12"/>
  <c r="AF10" i="12"/>
  <c r="AG10" i="12"/>
  <c r="AD10" i="12"/>
  <c r="AC10" i="12"/>
  <c r="CO30" i="12"/>
  <c r="CP30" i="12" s="1"/>
  <c r="CO29" i="12"/>
  <c r="CP29" i="12" s="1"/>
  <c r="CG30" i="12"/>
  <c r="CH30" i="12" s="1"/>
  <c r="CG29" i="12"/>
  <c r="CH29" i="12" s="1"/>
  <c r="BY30" i="12"/>
  <c r="BZ30" i="12" s="1"/>
  <c r="BY29" i="12"/>
  <c r="BZ29" i="12" s="1"/>
  <c r="BQ30" i="12"/>
  <c r="BR30" i="12" s="1"/>
  <c r="BQ29" i="12"/>
  <c r="BR29" i="12" s="1"/>
  <c r="BI30" i="12"/>
  <c r="BJ30" i="12" s="1"/>
  <c r="BI29" i="12"/>
  <c r="BJ29" i="12" s="1"/>
  <c r="BA30" i="12"/>
  <c r="BB30" i="12" s="1"/>
  <c r="BA29" i="12"/>
  <c r="BB29" i="12" s="1"/>
  <c r="AS30" i="12"/>
  <c r="AT30" i="12" s="1"/>
  <c r="AS29" i="12"/>
  <c r="AT29" i="12" s="1"/>
  <c r="AK30" i="12"/>
  <c r="AL30" i="12" s="1"/>
  <c r="AK29" i="12"/>
  <c r="AL29" i="12" s="1"/>
  <c r="AC30" i="12"/>
  <c r="AD30" i="12" s="1"/>
  <c r="AC29" i="12"/>
  <c r="AD29" i="12" s="1"/>
  <c r="U30" i="12"/>
  <c r="V30" i="12" s="1"/>
  <c r="U29" i="12"/>
  <c r="V29" i="12" s="1"/>
  <c r="M30" i="12"/>
  <c r="N30" i="12" s="1"/>
  <c r="M29" i="12"/>
  <c r="N29" i="12" s="1"/>
  <c r="M17" i="12"/>
  <c r="N17" i="12"/>
  <c r="M18" i="12"/>
  <c r="N18" i="12"/>
  <c r="M19" i="12"/>
  <c r="N19" i="12"/>
  <c r="M20" i="12"/>
  <c r="N20" i="12"/>
  <c r="M21" i="12"/>
  <c r="N21" i="12"/>
  <c r="M22" i="12"/>
  <c r="N22" i="12"/>
  <c r="M23" i="12"/>
  <c r="N23" i="12"/>
  <c r="M24" i="12"/>
  <c r="N24" i="12"/>
  <c r="M25" i="12"/>
  <c r="N25" i="12"/>
  <c r="M26" i="12"/>
  <c r="N26" i="12"/>
  <c r="M27" i="12"/>
  <c r="N27" i="12"/>
  <c r="M28" i="12"/>
  <c r="N28" i="12"/>
  <c r="F29" i="12"/>
  <c r="F30" i="12"/>
  <c r="E30" i="12"/>
  <c r="E29" i="12"/>
  <c r="Q13" i="12"/>
  <c r="Q11" i="12"/>
  <c r="Q12" i="12"/>
  <c r="D130" i="5"/>
  <c r="D123" i="5"/>
  <c r="D116" i="5"/>
  <c r="D108" i="5"/>
  <c r="D101" i="5"/>
  <c r="D94" i="5"/>
  <c r="D88" i="5"/>
  <c r="D82" i="5"/>
  <c r="D76" i="5"/>
  <c r="D70" i="5"/>
  <c r="D63" i="5"/>
  <c r="E6" i="12"/>
  <c r="F79" i="5"/>
  <c r="I79" i="5"/>
  <c r="F78" i="5"/>
  <c r="I78" i="5"/>
  <c r="F80" i="5"/>
  <c r="I80" i="5"/>
  <c r="F84" i="5"/>
  <c r="I84" i="5"/>
  <c r="F85" i="5"/>
  <c r="I85" i="5"/>
  <c r="F86" i="5"/>
  <c r="I86" i="5"/>
  <c r="F90" i="5"/>
  <c r="I90" i="5"/>
  <c r="F91" i="5"/>
  <c r="I91" i="5"/>
  <c r="F92" i="5"/>
  <c r="I92" i="5"/>
  <c r="F96" i="5"/>
  <c r="I96" i="5"/>
  <c r="F97" i="5"/>
  <c r="I97" i="5"/>
  <c r="F98" i="5"/>
  <c r="I98" i="5"/>
  <c r="F99" i="5"/>
  <c r="I99" i="5"/>
  <c r="F103" i="5"/>
  <c r="I103" i="5"/>
  <c r="F104" i="5"/>
  <c r="I104" i="5"/>
  <c r="F105" i="5"/>
  <c r="I105" i="5"/>
  <c r="F106" i="5"/>
  <c r="I106" i="5"/>
  <c r="F110" i="5"/>
  <c r="I110" i="5"/>
  <c r="F111" i="5"/>
  <c r="I111" i="5"/>
  <c r="F112" i="5"/>
  <c r="I112" i="5"/>
  <c r="F113" i="5"/>
  <c r="I113" i="5"/>
  <c r="F118" i="5"/>
  <c r="I118" i="5"/>
  <c r="F119" i="5"/>
  <c r="I119" i="5"/>
  <c r="F120" i="5"/>
  <c r="I120" i="5"/>
  <c r="F121" i="5"/>
  <c r="I121" i="5"/>
  <c r="F125" i="5"/>
  <c r="I125" i="5"/>
  <c r="F126" i="5"/>
  <c r="I126" i="5"/>
  <c r="F127" i="5"/>
  <c r="I127" i="5"/>
  <c r="F128" i="5"/>
  <c r="I128" i="5"/>
  <c r="F132" i="5"/>
  <c r="I132" i="5"/>
  <c r="F133" i="5"/>
  <c r="I133" i="5"/>
  <c r="F134" i="5"/>
  <c r="I134" i="5"/>
  <c r="F135" i="5"/>
  <c r="I135" i="5"/>
  <c r="F72" i="5"/>
  <c r="I72" i="5"/>
  <c r="F73" i="5"/>
  <c r="I73" i="5"/>
  <c r="F74" i="5"/>
  <c r="I74" i="5"/>
  <c r="F65" i="5"/>
  <c r="I65" i="5"/>
  <c r="F66" i="5"/>
  <c r="I66" i="5"/>
  <c r="F67" i="5"/>
  <c r="I67" i="5"/>
  <c r="E17" i="12"/>
  <c r="D66" i="6" a="1"/>
  <c r="D66" i="6" s="1"/>
  <c r="Z6" i="6"/>
  <c r="Z7" i="6"/>
  <c r="Z8" i="6"/>
  <c r="Z5" i="6"/>
  <c r="X6" i="6"/>
  <c r="X7" i="6"/>
  <c r="X8" i="6"/>
  <c r="X5" i="6"/>
  <c r="V6" i="6"/>
  <c r="V7" i="6"/>
  <c r="V8" i="6"/>
  <c r="V5" i="6"/>
  <c r="T6" i="6"/>
  <c r="T7" i="6"/>
  <c r="T8" i="6"/>
  <c r="T5" i="6"/>
  <c r="R6" i="6"/>
  <c r="R7" i="6"/>
  <c r="R8" i="6"/>
  <c r="R5" i="6"/>
  <c r="P6" i="6"/>
  <c r="P7" i="6"/>
  <c r="P8" i="6"/>
  <c r="P5" i="6"/>
  <c r="N6" i="6"/>
  <c r="N7" i="6"/>
  <c r="N8" i="6"/>
  <c r="N5" i="6"/>
  <c r="L6" i="6"/>
  <c r="L7" i="6"/>
  <c r="L8" i="6"/>
  <c r="L5" i="6"/>
  <c r="J6" i="6"/>
  <c r="J7" i="6"/>
  <c r="J8" i="6"/>
  <c r="J5" i="6"/>
  <c r="H6" i="6"/>
  <c r="H7" i="6"/>
  <c r="H8" i="6"/>
  <c r="H5" i="6"/>
  <c r="F8" i="6"/>
  <c r="F6" i="6"/>
  <c r="F7" i="6"/>
  <c r="F5" i="6"/>
  <c r="E6" i="6"/>
  <c r="E7" i="6"/>
  <c r="E8" i="6"/>
  <c r="E5" i="6"/>
  <c r="I23" i="1"/>
  <c r="I24" i="1"/>
  <c r="I25" i="1"/>
  <c r="I22" i="1"/>
  <c r="H23" i="1"/>
  <c r="H24" i="1"/>
  <c r="H25" i="1"/>
  <c r="H22" i="1"/>
  <c r="G23" i="1"/>
  <c r="G24" i="1"/>
  <c r="G25" i="1"/>
  <c r="G22" i="1"/>
  <c r="F23" i="1"/>
  <c r="F24" i="1"/>
  <c r="F25" i="1"/>
  <c r="F22" i="1"/>
  <c r="E23" i="1"/>
  <c r="E24" i="1"/>
  <c r="E25" i="1"/>
  <c r="E22" i="1"/>
  <c r="I13" i="1"/>
  <c r="I14" i="1"/>
  <c r="I15" i="1"/>
  <c r="I12" i="1"/>
  <c r="J13" i="1"/>
  <c r="J14" i="1"/>
  <c r="J15" i="1"/>
  <c r="J12" i="1"/>
  <c r="H13" i="1"/>
  <c r="H14" i="1"/>
  <c r="H15" i="1"/>
  <c r="H12" i="1"/>
  <c r="G13" i="1"/>
  <c r="G14" i="1"/>
  <c r="G15" i="1"/>
  <c r="G12" i="1"/>
  <c r="F13" i="1"/>
  <c r="F14" i="1"/>
  <c r="F15" i="1"/>
  <c r="F12" i="1"/>
  <c r="E13" i="1"/>
  <c r="E14" i="1"/>
  <c r="E15" i="1"/>
  <c r="E12" i="1"/>
  <c r="H10" i="6"/>
  <c r="AG29" i="4"/>
  <c r="AC30" i="4"/>
  <c r="AE30" i="4"/>
  <c r="AG30" i="4"/>
  <c r="AA31" i="4"/>
  <c r="AE31" i="4"/>
  <c r="AG31" i="4"/>
  <c r="S29" i="4"/>
  <c r="Q31" i="4"/>
  <c r="Q29" i="4"/>
  <c r="D21" i="4"/>
  <c r="E21" i="4"/>
  <c r="F21" i="4"/>
  <c r="G21" i="4"/>
  <c r="AE6" i="4"/>
  <c r="AE7" i="4"/>
  <c r="AE8" i="4"/>
  <c r="AE5" i="4"/>
  <c r="AC8" i="4"/>
  <c r="AC6" i="4"/>
  <c r="AC7" i="4"/>
  <c r="AC5" i="4"/>
  <c r="AA6" i="4"/>
  <c r="AA7" i="4"/>
  <c r="AA8" i="4"/>
  <c r="AA5" i="4"/>
  <c r="U6" i="4"/>
  <c r="U7" i="4"/>
  <c r="U8" i="4"/>
  <c r="U5" i="4"/>
  <c r="W8" i="4"/>
  <c r="W6" i="4"/>
  <c r="W7" i="4"/>
  <c r="W5" i="4"/>
  <c r="Y6" i="4"/>
  <c r="Y7" i="4"/>
  <c r="Y8" i="4"/>
  <c r="Y5" i="4"/>
  <c r="S6" i="4"/>
  <c r="S7" i="4"/>
  <c r="S8" i="4"/>
  <c r="S5" i="4"/>
  <c r="Q6" i="4"/>
  <c r="Q7" i="4"/>
  <c r="Q8" i="4"/>
  <c r="Q5" i="4"/>
  <c r="O6" i="4"/>
  <c r="O7" i="4"/>
  <c r="O8" i="4"/>
  <c r="O5" i="4"/>
  <c r="M6" i="4"/>
  <c r="M7" i="4"/>
  <c r="M8" i="4"/>
  <c r="M5" i="4"/>
  <c r="K8" i="4"/>
  <c r="K7" i="4"/>
  <c r="K6" i="4"/>
  <c r="K5" i="4"/>
  <c r="E3" i="4"/>
  <c r="E10" i="1"/>
  <c r="F10" i="1" s="1"/>
  <c r="G10" i="1" s="1"/>
  <c r="H10" i="1" s="1"/>
  <c r="I10" i="1" s="1"/>
  <c r="J10" i="1" s="1"/>
  <c r="E20" i="1" s="1"/>
  <c r="F20" i="1" s="1"/>
  <c r="G20" i="1" s="1"/>
  <c r="H20" i="1" s="1"/>
  <c r="I20" i="1" s="1"/>
  <c r="J20" i="1" s="1"/>
  <c r="D14" i="19"/>
  <c r="E14" i="19"/>
  <c r="F14" i="19"/>
  <c r="G14" i="19"/>
  <c r="CG52" i="12" a="1"/>
  <c r="CG52" i="12" s="1"/>
  <c r="D57" i="19"/>
  <c r="E43" i="19"/>
  <c r="F43" i="19"/>
  <c r="G43" i="19"/>
  <c r="H43" i="19"/>
  <c r="I43" i="19"/>
  <c r="F44" i="19"/>
  <c r="G44" i="19"/>
  <c r="H44" i="19"/>
  <c r="I44" i="19"/>
  <c r="F45" i="19"/>
  <c r="G45" i="19"/>
  <c r="H45" i="19"/>
  <c r="I45" i="19"/>
  <c r="F46" i="19"/>
  <c r="G46" i="19"/>
  <c r="H46" i="19"/>
  <c r="I46" i="19"/>
  <c r="D45" i="19"/>
  <c r="D46" i="19"/>
  <c r="D44" i="19"/>
  <c r="CG35" i="12"/>
  <c r="CG34" i="12"/>
  <c r="CG33" i="12"/>
  <c r="BY35" i="12"/>
  <c r="BY34" i="12"/>
  <c r="BY33" i="12"/>
  <c r="BQ34" i="12"/>
  <c r="BQ33" i="12"/>
  <c r="BI35" i="12"/>
  <c r="BI34" i="12"/>
  <c r="BI33" i="12"/>
  <c r="BA35" i="12"/>
  <c r="BA34" i="12"/>
  <c r="BA33" i="12"/>
  <c r="AS35" i="12"/>
  <c r="AS34" i="12"/>
  <c r="AS33" i="12"/>
  <c r="AK35" i="12"/>
  <c r="AK34" i="12"/>
  <c r="AK33" i="12"/>
  <c r="AC35" i="12"/>
  <c r="AC34" i="12"/>
  <c r="AC33" i="12"/>
  <c r="U35" i="12"/>
  <c r="U34" i="12"/>
  <c r="U33" i="12"/>
  <c r="M35" i="12"/>
  <c r="M34" i="12"/>
  <c r="M33" i="12"/>
  <c r="U28" i="12"/>
  <c r="V28" i="12" s="1"/>
  <c r="U27" i="12"/>
  <c r="V27" i="12" s="1"/>
  <c r="U26" i="12"/>
  <c r="V26" i="12" s="1"/>
  <c r="U25" i="12"/>
  <c r="V25" i="12" s="1"/>
  <c r="U24" i="12"/>
  <c r="V24" i="12" s="1"/>
  <c r="U23" i="12"/>
  <c r="V23" i="12" s="1"/>
  <c r="U22" i="12"/>
  <c r="V22" i="12" s="1"/>
  <c r="U21" i="12"/>
  <c r="V21" i="12" s="1"/>
  <c r="U20" i="12"/>
  <c r="V20" i="12" s="1"/>
  <c r="U19" i="12"/>
  <c r="V19" i="12" s="1"/>
  <c r="U18" i="12"/>
  <c r="V18" i="12" s="1"/>
  <c r="U17" i="12"/>
  <c r="V17" i="12" s="1"/>
  <c r="E57" i="25" a="1"/>
  <c r="E57" i="25" s="1"/>
  <c r="E58" i="36" a="1"/>
  <c r="E58" i="36" s="1"/>
  <c r="E58" i="35" a="1"/>
  <c r="E58" i="35" s="1"/>
  <c r="E57" i="34" a="1"/>
  <c r="E57" i="34" s="1"/>
  <c r="E58" i="33" a="1"/>
  <c r="E58" i="33" s="1"/>
  <c r="E58" i="32" a="1"/>
  <c r="E58" i="32" s="1"/>
  <c r="E58" i="31" a="1"/>
  <c r="E58" i="31" s="1"/>
  <c r="E60" i="30" a="1"/>
  <c r="E60" i="30" s="1"/>
  <c r="E57" i="28" a="1"/>
  <c r="E57" i="28" s="1"/>
  <c r="E57" i="27" a="1"/>
  <c r="E57" i="27" s="1"/>
  <c r="S16" i="4" l="1"/>
  <c r="R25" i="4"/>
  <c r="D13" i="19"/>
  <c r="E13" i="19"/>
  <c r="F13" i="19"/>
  <c r="G13" i="19"/>
  <c r="D12" i="19"/>
  <c r="E12" i="19"/>
  <c r="F12" i="19"/>
  <c r="G12" i="19"/>
  <c r="E59" i="19" a="1"/>
  <c r="E59" i="19" s="1"/>
  <c r="CO28" i="12" l="1"/>
  <c r="CP28" i="12" s="1"/>
  <c r="CO27" i="12"/>
  <c r="CP27" i="12" s="1"/>
  <c r="CO26" i="12"/>
  <c r="CP26" i="12" s="1"/>
  <c r="CO25" i="12"/>
  <c r="CP25" i="12" s="1"/>
  <c r="CO24" i="12"/>
  <c r="CP24" i="12" s="1"/>
  <c r="CO23" i="12"/>
  <c r="CP23" i="12" s="1"/>
  <c r="CO22" i="12"/>
  <c r="CP22" i="12" s="1"/>
  <c r="CO21" i="12"/>
  <c r="CP21" i="12" s="1"/>
  <c r="CO20" i="12"/>
  <c r="CP20" i="12" s="1"/>
  <c r="CO19" i="12"/>
  <c r="CP19" i="12" s="1"/>
  <c r="CO18" i="12"/>
  <c r="CP18" i="12" s="1"/>
  <c r="CO17" i="12"/>
  <c r="CP17" i="12" s="1"/>
  <c r="CG28" i="12"/>
  <c r="CH28" i="12" s="1"/>
  <c r="CG27" i="12"/>
  <c r="CH27" i="12" s="1"/>
  <c r="CG26" i="12"/>
  <c r="CH26" i="12" s="1"/>
  <c r="CG25" i="12"/>
  <c r="CH25" i="12" s="1"/>
  <c r="CG24" i="12"/>
  <c r="CH24" i="12" s="1"/>
  <c r="CG23" i="12"/>
  <c r="CH23" i="12" s="1"/>
  <c r="CG22" i="12"/>
  <c r="CH22" i="12" s="1"/>
  <c r="CG21" i="12"/>
  <c r="CH21" i="12" s="1"/>
  <c r="CG20" i="12"/>
  <c r="CH20" i="12" s="1"/>
  <c r="CG19" i="12"/>
  <c r="CH19" i="12" s="1"/>
  <c r="CG18" i="12"/>
  <c r="CH18" i="12" s="1"/>
  <c r="CG17" i="12"/>
  <c r="CH17" i="12" s="1"/>
  <c r="BY28" i="12"/>
  <c r="BZ28" i="12" s="1"/>
  <c r="BY27" i="12"/>
  <c r="BZ27" i="12" s="1"/>
  <c r="BY26" i="12"/>
  <c r="BZ26" i="12" s="1"/>
  <c r="BY25" i="12"/>
  <c r="BZ25" i="12" s="1"/>
  <c r="BY24" i="12"/>
  <c r="BZ24" i="12" s="1"/>
  <c r="BY23" i="12"/>
  <c r="BZ23" i="12" s="1"/>
  <c r="BY22" i="12"/>
  <c r="BZ22" i="12" s="1"/>
  <c r="BY21" i="12"/>
  <c r="BZ21" i="12" s="1"/>
  <c r="BY20" i="12"/>
  <c r="BZ20" i="12" s="1"/>
  <c r="BY19" i="12"/>
  <c r="BZ19" i="12" s="1"/>
  <c r="BY18" i="12"/>
  <c r="BZ18" i="12" s="1"/>
  <c r="BY17" i="12"/>
  <c r="BZ17" i="12" s="1"/>
  <c r="BQ28" i="12"/>
  <c r="BR28" i="12" s="1"/>
  <c r="BQ27" i="12"/>
  <c r="BR27" i="12" s="1"/>
  <c r="BQ26" i="12"/>
  <c r="BR26" i="12" s="1"/>
  <c r="BQ25" i="12"/>
  <c r="BR25" i="12" s="1"/>
  <c r="BQ24" i="12"/>
  <c r="BR24" i="12" s="1"/>
  <c r="BQ23" i="12"/>
  <c r="BR23" i="12" s="1"/>
  <c r="BQ22" i="12"/>
  <c r="BR22" i="12" s="1"/>
  <c r="BQ21" i="12"/>
  <c r="BR21" i="12" s="1"/>
  <c r="BQ20" i="12"/>
  <c r="BR20" i="12" s="1"/>
  <c r="BQ19" i="12"/>
  <c r="BR19" i="12" s="1"/>
  <c r="BQ18" i="12"/>
  <c r="BR18" i="12" s="1"/>
  <c r="BQ17" i="12"/>
  <c r="BR17" i="12" s="1"/>
  <c r="BI28" i="12"/>
  <c r="BJ28" i="12" s="1"/>
  <c r="BI27" i="12"/>
  <c r="BJ27" i="12" s="1"/>
  <c r="BI26" i="12"/>
  <c r="BJ26" i="12" s="1"/>
  <c r="BI25" i="12"/>
  <c r="BJ25" i="12" s="1"/>
  <c r="BI24" i="12"/>
  <c r="BJ24" i="12" s="1"/>
  <c r="BI23" i="12"/>
  <c r="BJ23" i="12" s="1"/>
  <c r="BI22" i="12"/>
  <c r="BJ22" i="12" s="1"/>
  <c r="BI21" i="12"/>
  <c r="BJ21" i="12" s="1"/>
  <c r="BI20" i="12"/>
  <c r="BJ20" i="12" s="1"/>
  <c r="BI19" i="12"/>
  <c r="BJ19" i="12" s="1"/>
  <c r="BI18" i="12"/>
  <c r="BJ18" i="12" s="1"/>
  <c r="BI17" i="12"/>
  <c r="BJ17" i="12" s="1"/>
  <c r="BA28" i="12"/>
  <c r="BB28" i="12" s="1"/>
  <c r="BA27" i="12"/>
  <c r="BB27" i="12" s="1"/>
  <c r="BA26" i="12"/>
  <c r="BB26" i="12" s="1"/>
  <c r="BA25" i="12"/>
  <c r="BB25" i="12" s="1"/>
  <c r="BA24" i="12"/>
  <c r="BB24" i="12" s="1"/>
  <c r="BA23" i="12"/>
  <c r="BB23" i="12" s="1"/>
  <c r="BA22" i="12"/>
  <c r="BB22" i="12" s="1"/>
  <c r="BA21" i="12"/>
  <c r="BB21" i="12" s="1"/>
  <c r="BA20" i="12"/>
  <c r="BB20" i="12" s="1"/>
  <c r="BA19" i="12"/>
  <c r="BB19" i="12" s="1"/>
  <c r="BA18" i="12"/>
  <c r="BB18" i="12" s="1"/>
  <c r="BA17" i="12"/>
  <c r="BB17" i="12" s="1"/>
  <c r="AS28" i="12"/>
  <c r="AT28" i="12" s="1"/>
  <c r="AS27" i="12"/>
  <c r="AT27" i="12" s="1"/>
  <c r="AS26" i="12"/>
  <c r="AT26" i="12" s="1"/>
  <c r="AS25" i="12"/>
  <c r="AT25" i="12" s="1"/>
  <c r="AS24" i="12"/>
  <c r="AT24" i="12" s="1"/>
  <c r="AS23" i="12"/>
  <c r="AT23" i="12" s="1"/>
  <c r="AS22" i="12"/>
  <c r="AT22" i="12" s="1"/>
  <c r="AS21" i="12"/>
  <c r="AT21" i="12" s="1"/>
  <c r="AS20" i="12"/>
  <c r="AT20" i="12" s="1"/>
  <c r="AS19" i="12"/>
  <c r="AT19" i="12" s="1"/>
  <c r="AS18" i="12"/>
  <c r="AT18" i="12" s="1"/>
  <c r="AS17" i="12"/>
  <c r="AT17" i="12" s="1"/>
  <c r="AK28" i="12"/>
  <c r="AL28" i="12" s="1"/>
  <c r="AK27" i="12"/>
  <c r="AL27" i="12" s="1"/>
  <c r="AK26" i="12"/>
  <c r="AL26" i="12" s="1"/>
  <c r="AK25" i="12"/>
  <c r="AL25" i="12" s="1"/>
  <c r="AK24" i="12"/>
  <c r="AL24" i="12" s="1"/>
  <c r="AK23" i="12"/>
  <c r="AL23" i="12" s="1"/>
  <c r="AK22" i="12"/>
  <c r="AL22" i="12" s="1"/>
  <c r="AK21" i="12"/>
  <c r="AL21" i="12" s="1"/>
  <c r="AK20" i="12"/>
  <c r="AL20" i="12" s="1"/>
  <c r="AK19" i="12"/>
  <c r="AL19" i="12" s="1"/>
  <c r="AK18" i="12"/>
  <c r="AL18" i="12" s="1"/>
  <c r="AK17" i="12"/>
  <c r="AL17" i="12" s="1"/>
  <c r="AC28" i="12"/>
  <c r="AD28" i="12" s="1"/>
  <c r="AC27" i="12"/>
  <c r="AD27" i="12" s="1"/>
  <c r="AC26" i="12"/>
  <c r="AD26" i="12" s="1"/>
  <c r="AC25" i="12"/>
  <c r="AD25" i="12" s="1"/>
  <c r="AC24" i="12"/>
  <c r="AD24" i="12" s="1"/>
  <c r="AC23" i="12"/>
  <c r="AD23" i="12" s="1"/>
  <c r="AC22" i="12"/>
  <c r="AD22" i="12" s="1"/>
  <c r="AC21" i="12"/>
  <c r="AD21" i="12" s="1"/>
  <c r="AC20" i="12"/>
  <c r="AD20" i="12" s="1"/>
  <c r="AC19" i="12"/>
  <c r="AD19" i="12" s="1"/>
  <c r="AC18" i="12"/>
  <c r="AD18" i="12" s="1"/>
  <c r="AC17" i="12"/>
  <c r="AD17" i="12" s="1"/>
  <c r="F17" i="12"/>
  <c r="E28" i="12" l="1"/>
  <c r="E27" i="12"/>
  <c r="E26" i="12"/>
  <c r="E25" i="12"/>
  <c r="F25" i="12" s="1"/>
  <c r="E24" i="12"/>
  <c r="E23" i="12"/>
  <c r="E22" i="12"/>
  <c r="E21" i="12"/>
  <c r="F21" i="12" s="1"/>
  <c r="E20" i="12"/>
  <c r="E19" i="12"/>
  <c r="E18" i="12"/>
  <c r="F18" i="12" s="1"/>
  <c r="G29" i="36"/>
  <c r="H29" i="36"/>
  <c r="I29" i="36"/>
  <c r="G30" i="36"/>
  <c r="H30" i="36"/>
  <c r="I30" i="36"/>
  <c r="G31" i="36"/>
  <c r="H31" i="36"/>
  <c r="I31" i="36"/>
  <c r="G32" i="36"/>
  <c r="H32" i="36"/>
  <c r="I32" i="36"/>
  <c r="G33" i="36"/>
  <c r="H33" i="36"/>
  <c r="I33" i="36"/>
  <c r="G34" i="36"/>
  <c r="H34" i="36"/>
  <c r="I34" i="36"/>
  <c r="G35" i="36"/>
  <c r="H35" i="36"/>
  <c r="I35" i="36"/>
  <c r="G36" i="36"/>
  <c r="H36" i="36"/>
  <c r="I36" i="36"/>
  <c r="G37" i="36"/>
  <c r="H37" i="36"/>
  <c r="I37" i="36"/>
  <c r="G38" i="36"/>
  <c r="H38" i="36"/>
  <c r="I38" i="36"/>
  <c r="G39" i="36"/>
  <c r="H39" i="36"/>
  <c r="I39" i="36"/>
  <c r="G40" i="36"/>
  <c r="H40" i="36"/>
  <c r="I40" i="36"/>
  <c r="F30" i="36"/>
  <c r="F31" i="36"/>
  <c r="F32" i="36"/>
  <c r="F33" i="36"/>
  <c r="F34" i="36"/>
  <c r="F35" i="36"/>
  <c r="F36" i="36"/>
  <c r="F37" i="36"/>
  <c r="F38" i="36"/>
  <c r="F39" i="36"/>
  <c r="F40" i="36"/>
  <c r="F29" i="36"/>
  <c r="D55" i="35"/>
  <c r="D53" i="35"/>
  <c r="E47" i="35"/>
  <c r="E49" i="35"/>
  <c r="E45" i="35"/>
  <c r="G29" i="35"/>
  <c r="H29" i="35"/>
  <c r="I29" i="35"/>
  <c r="G30" i="35"/>
  <c r="H30" i="35"/>
  <c r="I30" i="35"/>
  <c r="G31" i="35"/>
  <c r="H31" i="35"/>
  <c r="I31" i="35"/>
  <c r="G32" i="35"/>
  <c r="H32" i="35"/>
  <c r="I32" i="35"/>
  <c r="G33" i="35"/>
  <c r="H33" i="35"/>
  <c r="I33" i="35"/>
  <c r="G34" i="35"/>
  <c r="H34" i="35"/>
  <c r="I34" i="35"/>
  <c r="G35" i="35"/>
  <c r="H35" i="35"/>
  <c r="I35" i="35"/>
  <c r="G36" i="35"/>
  <c r="H36" i="35"/>
  <c r="I36" i="35"/>
  <c r="G37" i="35"/>
  <c r="H37" i="35"/>
  <c r="I37" i="35"/>
  <c r="G38" i="35"/>
  <c r="H38" i="35"/>
  <c r="I38" i="35"/>
  <c r="G39" i="35"/>
  <c r="H39" i="35"/>
  <c r="I39" i="35"/>
  <c r="G40" i="35"/>
  <c r="H40" i="35"/>
  <c r="I40" i="35"/>
  <c r="F30" i="35"/>
  <c r="F31" i="35"/>
  <c r="F32" i="35"/>
  <c r="F33" i="35"/>
  <c r="F34" i="35"/>
  <c r="F35" i="35"/>
  <c r="F36" i="35"/>
  <c r="F37" i="35"/>
  <c r="F38" i="35"/>
  <c r="F39" i="35"/>
  <c r="F40" i="35"/>
  <c r="F29" i="35"/>
  <c r="BZ10" i="12"/>
  <c r="CA10" i="12"/>
  <c r="CB10" i="12"/>
  <c r="CC10" i="12"/>
  <c r="BZ11" i="12"/>
  <c r="CA11" i="12"/>
  <c r="CB11" i="12"/>
  <c r="CC11" i="12"/>
  <c r="BZ12" i="12"/>
  <c r="CA12" i="12"/>
  <c r="CB12" i="12"/>
  <c r="CC12" i="12"/>
  <c r="BZ13" i="12"/>
  <c r="CA13" i="12"/>
  <c r="CB13" i="12"/>
  <c r="CC13" i="12"/>
  <c r="BY11" i="12"/>
  <c r="BY12" i="12"/>
  <c r="BY13" i="12"/>
  <c r="G28" i="34"/>
  <c r="H28" i="34"/>
  <c r="I28" i="34"/>
  <c r="G29" i="34"/>
  <c r="H29" i="34"/>
  <c r="I29" i="34"/>
  <c r="G30" i="34"/>
  <c r="H30" i="34"/>
  <c r="I30" i="34"/>
  <c r="G31" i="34"/>
  <c r="H31" i="34"/>
  <c r="I31" i="34"/>
  <c r="G32" i="34"/>
  <c r="H32" i="34"/>
  <c r="I32" i="34"/>
  <c r="G33" i="34"/>
  <c r="H33" i="34"/>
  <c r="I33" i="34"/>
  <c r="G34" i="34"/>
  <c r="H34" i="34"/>
  <c r="I34" i="34"/>
  <c r="G35" i="34"/>
  <c r="H35" i="34"/>
  <c r="I35" i="34"/>
  <c r="G36" i="34"/>
  <c r="H36" i="34"/>
  <c r="I36" i="34"/>
  <c r="G37" i="34"/>
  <c r="H37" i="34"/>
  <c r="I37" i="34"/>
  <c r="G38" i="34"/>
  <c r="H38" i="34"/>
  <c r="I38" i="34"/>
  <c r="G39" i="34"/>
  <c r="H39" i="34"/>
  <c r="I39" i="34"/>
  <c r="F29" i="34"/>
  <c r="F30" i="34"/>
  <c r="F31" i="34"/>
  <c r="F32" i="34"/>
  <c r="F33" i="34"/>
  <c r="F34" i="34"/>
  <c r="F35" i="34"/>
  <c r="F36" i="34"/>
  <c r="F37" i="34"/>
  <c r="F38" i="34"/>
  <c r="F39" i="34"/>
  <c r="F28" i="34"/>
  <c r="G29" i="33"/>
  <c r="H29" i="33"/>
  <c r="I29" i="33"/>
  <c r="G30" i="33"/>
  <c r="H30" i="33"/>
  <c r="I30" i="33"/>
  <c r="G31" i="33"/>
  <c r="H31" i="33"/>
  <c r="I31" i="33"/>
  <c r="G32" i="33"/>
  <c r="H32" i="33"/>
  <c r="I32" i="33"/>
  <c r="G33" i="33"/>
  <c r="H33" i="33"/>
  <c r="I33" i="33"/>
  <c r="G34" i="33"/>
  <c r="H34" i="33"/>
  <c r="I34" i="33"/>
  <c r="G35" i="33"/>
  <c r="H35" i="33"/>
  <c r="I35" i="33"/>
  <c r="G36" i="33"/>
  <c r="H36" i="33"/>
  <c r="I36" i="33"/>
  <c r="G37" i="33"/>
  <c r="H37" i="33"/>
  <c r="I37" i="33"/>
  <c r="G38" i="33"/>
  <c r="H38" i="33"/>
  <c r="I38" i="33"/>
  <c r="G39" i="33"/>
  <c r="H39" i="33"/>
  <c r="I39" i="33"/>
  <c r="G40" i="33"/>
  <c r="H40" i="33"/>
  <c r="I40" i="33"/>
  <c r="F30" i="33"/>
  <c r="F31" i="33"/>
  <c r="F32" i="33"/>
  <c r="F33" i="33"/>
  <c r="F34" i="33"/>
  <c r="F35" i="33"/>
  <c r="F36" i="33"/>
  <c r="F37" i="33"/>
  <c r="F38" i="33"/>
  <c r="F39" i="33"/>
  <c r="F40" i="33"/>
  <c r="F29" i="33"/>
  <c r="E22" i="33"/>
  <c r="F22" i="33"/>
  <c r="G22" i="33"/>
  <c r="H22" i="33"/>
  <c r="I22" i="33"/>
  <c r="E23" i="33"/>
  <c r="F23" i="33"/>
  <c r="G23" i="33"/>
  <c r="H23" i="33"/>
  <c r="I23" i="33"/>
  <c r="E24" i="33"/>
  <c r="F24" i="33"/>
  <c r="G24" i="33"/>
  <c r="H24" i="33"/>
  <c r="I24" i="33"/>
  <c r="F21" i="33"/>
  <c r="G21" i="33"/>
  <c r="H21" i="33"/>
  <c r="I21" i="33"/>
  <c r="G29" i="32"/>
  <c r="H29" i="32"/>
  <c r="I29" i="32"/>
  <c r="G30" i="32"/>
  <c r="H30" i="32"/>
  <c r="I30" i="32"/>
  <c r="G31" i="32"/>
  <c r="H31" i="32"/>
  <c r="I31" i="32"/>
  <c r="G32" i="32"/>
  <c r="H32" i="32"/>
  <c r="I32" i="32"/>
  <c r="G33" i="32"/>
  <c r="H33" i="32"/>
  <c r="I33" i="32"/>
  <c r="G34" i="32"/>
  <c r="H34" i="32"/>
  <c r="I34" i="32"/>
  <c r="G35" i="32"/>
  <c r="H35" i="32"/>
  <c r="I35" i="32"/>
  <c r="G36" i="32"/>
  <c r="H36" i="32"/>
  <c r="I36" i="32"/>
  <c r="G37" i="32"/>
  <c r="H37" i="32"/>
  <c r="I37" i="32"/>
  <c r="G38" i="32"/>
  <c r="H38" i="32"/>
  <c r="I38" i="32"/>
  <c r="G39" i="32"/>
  <c r="H39" i="32"/>
  <c r="I39" i="32"/>
  <c r="G40" i="32"/>
  <c r="H40" i="32"/>
  <c r="I40" i="32"/>
  <c r="F30" i="32"/>
  <c r="F31" i="32"/>
  <c r="F32" i="32"/>
  <c r="F33" i="32"/>
  <c r="F34" i="32"/>
  <c r="F35" i="32"/>
  <c r="F36" i="32"/>
  <c r="F37" i="32"/>
  <c r="F38" i="32"/>
  <c r="F39" i="32"/>
  <c r="F40" i="32"/>
  <c r="F29" i="32"/>
  <c r="G29" i="31"/>
  <c r="H29" i="31"/>
  <c r="I29" i="31"/>
  <c r="G30" i="31"/>
  <c r="H30" i="31"/>
  <c r="I30" i="31"/>
  <c r="G31" i="31"/>
  <c r="H31" i="31"/>
  <c r="I31" i="31"/>
  <c r="G32" i="31"/>
  <c r="H32" i="31"/>
  <c r="I32" i="31"/>
  <c r="G33" i="31"/>
  <c r="H33" i="31"/>
  <c r="I33" i="31"/>
  <c r="G34" i="31"/>
  <c r="H34" i="31"/>
  <c r="I34" i="31"/>
  <c r="G35" i="31"/>
  <c r="H35" i="31"/>
  <c r="I35" i="31"/>
  <c r="G36" i="31"/>
  <c r="H36" i="31"/>
  <c r="I36" i="31"/>
  <c r="G37" i="31"/>
  <c r="H37" i="31"/>
  <c r="I37" i="31"/>
  <c r="G38" i="31"/>
  <c r="H38" i="31"/>
  <c r="I38" i="31"/>
  <c r="G39" i="31"/>
  <c r="H39" i="31"/>
  <c r="I39" i="31"/>
  <c r="G40" i="31"/>
  <c r="H40" i="31"/>
  <c r="I40" i="31"/>
  <c r="F30" i="31"/>
  <c r="F31" i="31"/>
  <c r="F32" i="31"/>
  <c r="F33" i="31"/>
  <c r="F34" i="31"/>
  <c r="F35" i="31"/>
  <c r="F36" i="31"/>
  <c r="F37" i="31"/>
  <c r="F38" i="31"/>
  <c r="F39" i="31"/>
  <c r="F40" i="31"/>
  <c r="F29" i="31"/>
  <c r="AT10" i="12"/>
  <c r="F21" i="31" s="1"/>
  <c r="G21" i="31"/>
  <c r="H21" i="31"/>
  <c r="I21" i="31"/>
  <c r="F22" i="31"/>
  <c r="G22" i="31"/>
  <c r="H22" i="31"/>
  <c r="I22" i="31"/>
  <c r="F23" i="31"/>
  <c r="G23" i="31"/>
  <c r="H23" i="31"/>
  <c r="I23" i="31"/>
  <c r="F24" i="31"/>
  <c r="G24" i="31"/>
  <c r="H24" i="31"/>
  <c r="I24" i="31"/>
  <c r="AS11" i="12"/>
  <c r="E22" i="31" s="1"/>
  <c r="AS12" i="12"/>
  <c r="E23" i="31" s="1"/>
  <c r="AS13" i="12"/>
  <c r="E24" i="31" s="1"/>
  <c r="G28" i="19"/>
  <c r="H28" i="19"/>
  <c r="I28" i="19"/>
  <c r="G29" i="19"/>
  <c r="H29" i="19"/>
  <c r="I29" i="19"/>
  <c r="G30" i="19"/>
  <c r="H30" i="19"/>
  <c r="I30" i="19"/>
  <c r="G31" i="19"/>
  <c r="H31" i="19"/>
  <c r="I31" i="19"/>
  <c r="G32" i="19"/>
  <c r="H32" i="19"/>
  <c r="I32" i="19"/>
  <c r="G33" i="19"/>
  <c r="H33" i="19"/>
  <c r="I33" i="19"/>
  <c r="G34" i="19"/>
  <c r="H34" i="19"/>
  <c r="I34" i="19"/>
  <c r="G35" i="19"/>
  <c r="H35" i="19"/>
  <c r="I35" i="19"/>
  <c r="G36" i="19"/>
  <c r="H36" i="19"/>
  <c r="I36" i="19"/>
  <c r="G37" i="19"/>
  <c r="H37" i="19"/>
  <c r="I37" i="19"/>
  <c r="G38" i="19"/>
  <c r="H38" i="19"/>
  <c r="I38" i="19"/>
  <c r="G39" i="19"/>
  <c r="H39" i="19"/>
  <c r="I39" i="19"/>
  <c r="F34" i="19"/>
  <c r="F35" i="19"/>
  <c r="F36" i="19"/>
  <c r="F37" i="19"/>
  <c r="F38" i="19"/>
  <c r="F39" i="19"/>
  <c r="G28" i="25"/>
  <c r="H28" i="25"/>
  <c r="I28" i="25"/>
  <c r="G29" i="25"/>
  <c r="H29" i="25"/>
  <c r="I29" i="25"/>
  <c r="G30" i="25"/>
  <c r="H30" i="25"/>
  <c r="I30" i="25"/>
  <c r="G31" i="25"/>
  <c r="H31" i="25"/>
  <c r="I31" i="25"/>
  <c r="G32" i="25"/>
  <c r="H32" i="25"/>
  <c r="I32" i="25"/>
  <c r="G33" i="25"/>
  <c r="H33" i="25"/>
  <c r="I33" i="25"/>
  <c r="G34" i="25"/>
  <c r="H34" i="25"/>
  <c r="I34" i="25"/>
  <c r="G35" i="25"/>
  <c r="H35" i="25"/>
  <c r="I35" i="25"/>
  <c r="G36" i="25"/>
  <c r="H36" i="25"/>
  <c r="I36" i="25"/>
  <c r="G37" i="25"/>
  <c r="H37" i="25"/>
  <c r="I37" i="25"/>
  <c r="G38" i="25"/>
  <c r="H38" i="25"/>
  <c r="I38" i="25"/>
  <c r="G39" i="25"/>
  <c r="H39" i="25"/>
  <c r="I39" i="25"/>
  <c r="F34" i="25"/>
  <c r="F35" i="25"/>
  <c r="F36" i="25"/>
  <c r="F37" i="25"/>
  <c r="F38" i="25"/>
  <c r="F39" i="25"/>
  <c r="G28" i="27"/>
  <c r="H28" i="27"/>
  <c r="I28" i="27"/>
  <c r="G29" i="27"/>
  <c r="H29" i="27"/>
  <c r="I29" i="27"/>
  <c r="G30" i="27"/>
  <c r="H30" i="27"/>
  <c r="I30" i="27"/>
  <c r="G31" i="27"/>
  <c r="H31" i="27"/>
  <c r="I31" i="27"/>
  <c r="G32" i="27"/>
  <c r="H32" i="27"/>
  <c r="I32" i="27"/>
  <c r="G33" i="27"/>
  <c r="H33" i="27"/>
  <c r="I33" i="27"/>
  <c r="G34" i="27"/>
  <c r="H34" i="27"/>
  <c r="I34" i="27"/>
  <c r="G35" i="27"/>
  <c r="H35" i="27"/>
  <c r="I35" i="27"/>
  <c r="G36" i="27"/>
  <c r="H36" i="27"/>
  <c r="I36" i="27"/>
  <c r="G37" i="27"/>
  <c r="H37" i="27"/>
  <c r="I37" i="27"/>
  <c r="G38" i="27"/>
  <c r="H38" i="27"/>
  <c r="I38" i="27"/>
  <c r="G39" i="27"/>
  <c r="H39" i="27"/>
  <c r="I39" i="27"/>
  <c r="F29" i="27"/>
  <c r="F30" i="27"/>
  <c r="F31" i="27"/>
  <c r="F32" i="27"/>
  <c r="F33" i="27"/>
  <c r="F34" i="27"/>
  <c r="F35" i="27"/>
  <c r="F36" i="27"/>
  <c r="F37" i="27"/>
  <c r="F38" i="27"/>
  <c r="F39" i="27"/>
  <c r="G28" i="28"/>
  <c r="H28" i="28"/>
  <c r="I28" i="28"/>
  <c r="G29" i="28"/>
  <c r="H29" i="28"/>
  <c r="I29" i="28"/>
  <c r="G30" i="28"/>
  <c r="H30" i="28"/>
  <c r="I30" i="28"/>
  <c r="G31" i="28"/>
  <c r="H31" i="28"/>
  <c r="I31" i="28"/>
  <c r="G32" i="28"/>
  <c r="H32" i="28"/>
  <c r="I32" i="28"/>
  <c r="G33" i="28"/>
  <c r="H33" i="28"/>
  <c r="I33" i="28"/>
  <c r="G34" i="28"/>
  <c r="H34" i="28"/>
  <c r="I34" i="28"/>
  <c r="G35" i="28"/>
  <c r="H35" i="28"/>
  <c r="I35" i="28"/>
  <c r="G36" i="28"/>
  <c r="H36" i="28"/>
  <c r="I36" i="28"/>
  <c r="G37" i="28"/>
  <c r="H37" i="28"/>
  <c r="I37" i="28"/>
  <c r="G38" i="28"/>
  <c r="H38" i="28"/>
  <c r="I38" i="28"/>
  <c r="G39" i="28"/>
  <c r="H39" i="28"/>
  <c r="I39" i="28"/>
  <c r="F34" i="28"/>
  <c r="F35" i="28"/>
  <c r="F36" i="28"/>
  <c r="F37" i="28"/>
  <c r="F38" i="28"/>
  <c r="F39" i="28"/>
  <c r="D57" i="30"/>
  <c r="D55" i="30"/>
  <c r="H31" i="30"/>
  <c r="I31" i="30"/>
  <c r="H32" i="30"/>
  <c r="I32" i="30"/>
  <c r="H33" i="30"/>
  <c r="I33" i="30"/>
  <c r="H34" i="30"/>
  <c r="I34" i="30"/>
  <c r="H35" i="30"/>
  <c r="I35" i="30"/>
  <c r="H36" i="30"/>
  <c r="I36" i="30"/>
  <c r="H37" i="30"/>
  <c r="I37" i="30"/>
  <c r="H38" i="30"/>
  <c r="I38" i="30"/>
  <c r="H39" i="30"/>
  <c r="I39" i="30"/>
  <c r="H40" i="30"/>
  <c r="I40" i="30"/>
  <c r="H41" i="30"/>
  <c r="I41" i="30"/>
  <c r="H42" i="30"/>
  <c r="I42" i="30"/>
  <c r="G31" i="30"/>
  <c r="G32" i="30"/>
  <c r="G33" i="30"/>
  <c r="G34" i="30"/>
  <c r="G35" i="30"/>
  <c r="G36" i="30"/>
  <c r="G37" i="30"/>
  <c r="G38" i="30"/>
  <c r="G39" i="30"/>
  <c r="G40" i="30"/>
  <c r="G41" i="30"/>
  <c r="G42" i="30"/>
  <c r="F32" i="30"/>
  <c r="F33" i="30"/>
  <c r="F34" i="30"/>
  <c r="F35" i="30"/>
  <c r="F36" i="30"/>
  <c r="F37" i="30"/>
  <c r="F38" i="30"/>
  <c r="F39" i="30"/>
  <c r="F40" i="30"/>
  <c r="F41" i="30"/>
  <c r="F42" i="30"/>
  <c r="F31" i="30"/>
  <c r="D54" i="28"/>
  <c r="D52" i="28"/>
  <c r="F29" i="28"/>
  <c r="F30" i="28"/>
  <c r="F31" i="28"/>
  <c r="F32" i="28"/>
  <c r="F33" i="28"/>
  <c r="F28" i="28"/>
  <c r="D52" i="25"/>
  <c r="BY10" i="12"/>
  <c r="BR10" i="12"/>
  <c r="F20" i="34" s="1"/>
  <c r="BS10" i="12"/>
  <c r="G20" i="34" s="1"/>
  <c r="BT10" i="12"/>
  <c r="H20" i="34" s="1"/>
  <c r="BU10" i="12"/>
  <c r="I20" i="34" s="1"/>
  <c r="BR11" i="12"/>
  <c r="F21" i="34" s="1"/>
  <c r="BS11" i="12"/>
  <c r="G21" i="34" s="1"/>
  <c r="BT11" i="12"/>
  <c r="H21" i="34" s="1"/>
  <c r="BU11" i="12"/>
  <c r="I21" i="34" s="1"/>
  <c r="BR12" i="12"/>
  <c r="F22" i="34" s="1"/>
  <c r="BS12" i="12"/>
  <c r="G22" i="34" s="1"/>
  <c r="BT12" i="12"/>
  <c r="H22" i="34" s="1"/>
  <c r="BU12" i="12"/>
  <c r="I22" i="34" s="1"/>
  <c r="BR13" i="12"/>
  <c r="F23" i="34" s="1"/>
  <c r="BS13" i="12"/>
  <c r="BT13" i="12"/>
  <c r="H23" i="34" s="1"/>
  <c r="BU13" i="12"/>
  <c r="I23" i="34" s="1"/>
  <c r="BQ11" i="12"/>
  <c r="E21" i="34" s="1"/>
  <c r="BQ12" i="12"/>
  <c r="E22" i="34" s="1"/>
  <c r="BQ13" i="12"/>
  <c r="E23" i="34" s="1"/>
  <c r="AS10" i="12"/>
  <c r="E21" i="31" s="1"/>
  <c r="AK11" i="12"/>
  <c r="AL11" i="12"/>
  <c r="AM11" i="12"/>
  <c r="AN11" i="12"/>
  <c r="AO11" i="12"/>
  <c r="AK12" i="12"/>
  <c r="AL12" i="12"/>
  <c r="AN12" i="12"/>
  <c r="AO12" i="12"/>
  <c r="AK13" i="12"/>
  <c r="AL13" i="12"/>
  <c r="AM13" i="12"/>
  <c r="AN13" i="12"/>
  <c r="AO13" i="12"/>
  <c r="AL10" i="12"/>
  <c r="AM10" i="12"/>
  <c r="AN10" i="12"/>
  <c r="AO10" i="12"/>
  <c r="AK10" i="12"/>
  <c r="F24" i="30"/>
  <c r="G24" i="30"/>
  <c r="H24" i="30"/>
  <c r="I24" i="30"/>
  <c r="F25" i="30"/>
  <c r="G25" i="30"/>
  <c r="H25" i="30"/>
  <c r="I25" i="30"/>
  <c r="F26" i="30"/>
  <c r="G26" i="30"/>
  <c r="H26" i="30"/>
  <c r="I26" i="30"/>
  <c r="F27" i="30"/>
  <c r="G27" i="30"/>
  <c r="H27" i="30"/>
  <c r="I27" i="30"/>
  <c r="E25" i="30"/>
  <c r="E26" i="30"/>
  <c r="E27" i="30"/>
  <c r="E24" i="30"/>
  <c r="F28" i="27"/>
  <c r="D54" i="25"/>
  <c r="AG90" i="4"/>
  <c r="AG89" i="4"/>
  <c r="AG88" i="4"/>
  <c r="AE90" i="4"/>
  <c r="AE89" i="4"/>
  <c r="AE88" i="4"/>
  <c r="AC90" i="4"/>
  <c r="AC89" i="4"/>
  <c r="AC88" i="4"/>
  <c r="AA90" i="4"/>
  <c r="AA89" i="4"/>
  <c r="AA88" i="4"/>
  <c r="Y90" i="4"/>
  <c r="Y89" i="4"/>
  <c r="Y88" i="4"/>
  <c r="W90" i="4"/>
  <c r="W89" i="4"/>
  <c r="W88" i="4"/>
  <c r="U90" i="4"/>
  <c r="U89" i="4"/>
  <c r="U88" i="4"/>
  <c r="S90" i="4"/>
  <c r="S89" i="4"/>
  <c r="S88" i="4"/>
  <c r="Q90" i="4"/>
  <c r="Q89" i="4"/>
  <c r="Q88" i="4"/>
  <c r="O90" i="4"/>
  <c r="O89" i="4"/>
  <c r="O88" i="4"/>
  <c r="M90" i="4"/>
  <c r="M89" i="4"/>
  <c r="M88" i="4"/>
  <c r="K89" i="4"/>
  <c r="K90" i="4"/>
  <c r="K88" i="4"/>
  <c r="AG77" i="4"/>
  <c r="AG76" i="4"/>
  <c r="AG75" i="4"/>
  <c r="AE77" i="4"/>
  <c r="AE76" i="4"/>
  <c r="AE75" i="4"/>
  <c r="AC77" i="4"/>
  <c r="AC76" i="4"/>
  <c r="AC75" i="4"/>
  <c r="AA77" i="4"/>
  <c r="AA76" i="4"/>
  <c r="AA75" i="4"/>
  <c r="Y77" i="4"/>
  <c r="Y76" i="4"/>
  <c r="Y75" i="4"/>
  <c r="W77" i="4"/>
  <c r="W76" i="4"/>
  <c r="W75" i="4"/>
  <c r="U77" i="4"/>
  <c r="U76" i="4"/>
  <c r="U75" i="4"/>
  <c r="S77" i="4"/>
  <c r="S76" i="4"/>
  <c r="S75" i="4"/>
  <c r="Q77" i="4"/>
  <c r="Q76" i="4"/>
  <c r="Q75" i="4"/>
  <c r="O77" i="4"/>
  <c r="O76" i="4"/>
  <c r="O75" i="4"/>
  <c r="M77" i="4"/>
  <c r="M76" i="4"/>
  <c r="M75" i="4"/>
  <c r="K76" i="4"/>
  <c r="K81" i="4" s="1"/>
  <c r="F83" i="19" s="1"/>
  <c r="K77" i="4"/>
  <c r="K75" i="4"/>
  <c r="AG63" i="4"/>
  <c r="AG62" i="4"/>
  <c r="AG61" i="4"/>
  <c r="AE63" i="4"/>
  <c r="AE62" i="4"/>
  <c r="AE61" i="4"/>
  <c r="AC63" i="4"/>
  <c r="AC62" i="4"/>
  <c r="AC61" i="4"/>
  <c r="AA63" i="4"/>
  <c r="AA62" i="4"/>
  <c r="AA61" i="4"/>
  <c r="Y63" i="4"/>
  <c r="Y62" i="4"/>
  <c r="Y61" i="4"/>
  <c r="W63" i="4"/>
  <c r="W62" i="4"/>
  <c r="W61" i="4"/>
  <c r="U63" i="4"/>
  <c r="U62" i="4"/>
  <c r="U61" i="4"/>
  <c r="S63" i="4"/>
  <c r="S62" i="4"/>
  <c r="S61" i="4"/>
  <c r="Q63" i="4"/>
  <c r="Q62" i="4"/>
  <c r="Q61" i="4"/>
  <c r="O63" i="4"/>
  <c r="O62" i="4"/>
  <c r="O61" i="4"/>
  <c r="M63" i="4"/>
  <c r="M62" i="4"/>
  <c r="M61" i="4"/>
  <c r="K62" i="4"/>
  <c r="K63" i="4"/>
  <c r="K61" i="4"/>
  <c r="AG49" i="4"/>
  <c r="AG48" i="4"/>
  <c r="AG47" i="4"/>
  <c r="AE49" i="4"/>
  <c r="AE48" i="4"/>
  <c r="AE47" i="4"/>
  <c r="AC49" i="4"/>
  <c r="AC48" i="4"/>
  <c r="AC47" i="4"/>
  <c r="AA49" i="4"/>
  <c r="AA48" i="4"/>
  <c r="AA47" i="4"/>
  <c r="Y49" i="4"/>
  <c r="Y48" i="4"/>
  <c r="Y47" i="4"/>
  <c r="W49" i="4"/>
  <c r="W48" i="4"/>
  <c r="W47" i="4"/>
  <c r="U49" i="4"/>
  <c r="U48" i="4"/>
  <c r="U47" i="4"/>
  <c r="S49" i="4"/>
  <c r="S48" i="4"/>
  <c r="S47" i="4"/>
  <c r="Q49" i="4"/>
  <c r="Q48" i="4"/>
  <c r="Q47" i="4"/>
  <c r="O49" i="4"/>
  <c r="O48" i="4"/>
  <c r="O47" i="4"/>
  <c r="M49" i="4"/>
  <c r="M48" i="4"/>
  <c r="M47" i="4"/>
  <c r="K33" i="4"/>
  <c r="AG35" i="4"/>
  <c r="AG34" i="4"/>
  <c r="AG33" i="4"/>
  <c r="AE35" i="4"/>
  <c r="AE34" i="4"/>
  <c r="AE33" i="4"/>
  <c r="AC34" i="4"/>
  <c r="AC33" i="4"/>
  <c r="AA35" i="4"/>
  <c r="AA34" i="4"/>
  <c r="AA33" i="4"/>
  <c r="Y35" i="4"/>
  <c r="Y34" i="4"/>
  <c r="Y33" i="4"/>
  <c r="W35" i="4"/>
  <c r="W34" i="4"/>
  <c r="W33" i="4"/>
  <c r="U35" i="4"/>
  <c r="U34" i="4"/>
  <c r="U33" i="4"/>
  <c r="S35" i="4"/>
  <c r="S34" i="4"/>
  <c r="Q35" i="4"/>
  <c r="Q34" i="4"/>
  <c r="Q33" i="4"/>
  <c r="O35" i="4"/>
  <c r="O34" i="4"/>
  <c r="O33" i="4"/>
  <c r="M35" i="4"/>
  <c r="M34" i="4"/>
  <c r="M33" i="4"/>
  <c r="M21" i="4"/>
  <c r="M20" i="4"/>
  <c r="O20" i="4"/>
  <c r="O21" i="4"/>
  <c r="K20" i="4"/>
  <c r="K21" i="4"/>
  <c r="K48" i="4"/>
  <c r="K49" i="4"/>
  <c r="M82" i="4"/>
  <c r="F29" i="25"/>
  <c r="F30" i="25"/>
  <c r="F31" i="25"/>
  <c r="F32" i="25"/>
  <c r="F33" i="25"/>
  <c r="F28" i="25"/>
  <c r="F29" i="19"/>
  <c r="F30" i="19"/>
  <c r="F31" i="19"/>
  <c r="F32" i="19"/>
  <c r="F33" i="19"/>
  <c r="F28" i="19"/>
  <c r="Q10" i="12"/>
  <c r="I20" i="25" s="1"/>
  <c r="I10" i="12"/>
  <c r="D22" i="19"/>
  <c r="I22" i="19"/>
  <c r="I23" i="19"/>
  <c r="I24" i="19"/>
  <c r="I21" i="19"/>
  <c r="D23" i="19"/>
  <c r="D24" i="19"/>
  <c r="F19" i="4"/>
  <c r="F20" i="4"/>
  <c r="F14" i="4"/>
  <c r="F15" i="4"/>
  <c r="F16" i="4"/>
  <c r="F17" i="4"/>
  <c r="F18" i="4"/>
  <c r="F13" i="4"/>
  <c r="D55" i="36"/>
  <c r="D53" i="36"/>
  <c r="E47" i="36"/>
  <c r="E49" i="36"/>
  <c r="E45" i="36"/>
  <c r="E1" i="36"/>
  <c r="D49" i="36"/>
  <c r="D47" i="36"/>
  <c r="D45" i="36"/>
  <c r="D43" i="36"/>
  <c r="D39" i="36"/>
  <c r="D37" i="36"/>
  <c r="D35" i="36"/>
  <c r="D33" i="36"/>
  <c r="D31" i="36"/>
  <c r="D29" i="36"/>
  <c r="D27" i="36"/>
  <c r="F25" i="36"/>
  <c r="D24" i="36"/>
  <c r="D23" i="36"/>
  <c r="D22" i="36"/>
  <c r="D21" i="36"/>
  <c r="I20" i="36"/>
  <c r="H20" i="36"/>
  <c r="G20" i="36"/>
  <c r="F20" i="36"/>
  <c r="E20" i="36"/>
  <c r="D20" i="36"/>
  <c r="G11" i="36"/>
  <c r="F11" i="36"/>
  <c r="E11" i="36"/>
  <c r="D11" i="36"/>
  <c r="G10" i="36"/>
  <c r="F10" i="36"/>
  <c r="E10" i="36"/>
  <c r="D10" i="36"/>
  <c r="G9" i="36"/>
  <c r="F9" i="36"/>
  <c r="E9" i="36"/>
  <c r="D9" i="36"/>
  <c r="G8" i="36"/>
  <c r="F8" i="36"/>
  <c r="E8" i="36"/>
  <c r="D8" i="36"/>
  <c r="G7" i="36"/>
  <c r="F7" i="36"/>
  <c r="E7" i="36"/>
  <c r="D7" i="36"/>
  <c r="G6" i="36"/>
  <c r="F6" i="36"/>
  <c r="E6" i="36"/>
  <c r="D6" i="36"/>
  <c r="CH10" i="12"/>
  <c r="F21" i="36" s="1"/>
  <c r="CI10" i="12"/>
  <c r="G21" i="36" s="1"/>
  <c r="CJ10" i="12"/>
  <c r="H21" i="36" s="1"/>
  <c r="CK10" i="12"/>
  <c r="I21" i="36" s="1"/>
  <c r="CH11" i="12"/>
  <c r="F22" i="36" s="1"/>
  <c r="CI11" i="12"/>
  <c r="G22" i="36" s="1"/>
  <c r="CJ11" i="12"/>
  <c r="H22" i="36" s="1"/>
  <c r="CK11" i="12"/>
  <c r="I22" i="36" s="1"/>
  <c r="CH12" i="12"/>
  <c r="F23" i="36" s="1"/>
  <c r="CI12" i="12"/>
  <c r="G23" i="36" s="1"/>
  <c r="CJ12" i="12"/>
  <c r="H23" i="36" s="1"/>
  <c r="CK12" i="12"/>
  <c r="I23" i="36" s="1"/>
  <c r="CH13" i="12"/>
  <c r="F24" i="36" s="1"/>
  <c r="CI13" i="12"/>
  <c r="G24" i="36" s="1"/>
  <c r="CJ13" i="12"/>
  <c r="H24" i="36" s="1"/>
  <c r="CK13" i="12"/>
  <c r="I24" i="36" s="1"/>
  <c r="CG11" i="12"/>
  <c r="E22" i="36" s="1"/>
  <c r="CG12" i="12"/>
  <c r="E23" i="36" s="1"/>
  <c r="CG13" i="12"/>
  <c r="E24" i="36" s="1"/>
  <c r="CG10" i="12"/>
  <c r="E21" i="36" s="1"/>
  <c r="CO35" i="12"/>
  <c r="CO34" i="12"/>
  <c r="CO33" i="12"/>
  <c r="CS13" i="12"/>
  <c r="CR13" i="12"/>
  <c r="CQ13" i="12"/>
  <c r="CP13" i="12"/>
  <c r="CO13" i="12"/>
  <c r="CS12" i="12"/>
  <c r="CR12" i="12"/>
  <c r="CQ12" i="12"/>
  <c r="CP12" i="12"/>
  <c r="CO12" i="12"/>
  <c r="CS11" i="12"/>
  <c r="CR11" i="12"/>
  <c r="CQ11" i="12"/>
  <c r="CP11" i="12"/>
  <c r="CO11" i="12"/>
  <c r="CS10" i="12"/>
  <c r="CR10" i="12"/>
  <c r="CQ10" i="12"/>
  <c r="CP10" i="12"/>
  <c r="CO10" i="12"/>
  <c r="F21" i="35"/>
  <c r="G21" i="35"/>
  <c r="H21" i="35"/>
  <c r="I21" i="35"/>
  <c r="F22" i="35"/>
  <c r="G22" i="35"/>
  <c r="H22" i="35"/>
  <c r="I22" i="35"/>
  <c r="F23" i="35"/>
  <c r="G23" i="35"/>
  <c r="H23" i="35"/>
  <c r="I23" i="35"/>
  <c r="F24" i="35"/>
  <c r="G24" i="35"/>
  <c r="H24" i="35"/>
  <c r="I24" i="35"/>
  <c r="E24" i="35"/>
  <c r="E22" i="35"/>
  <c r="E23" i="35"/>
  <c r="E21" i="35"/>
  <c r="E1" i="35"/>
  <c r="D49" i="35"/>
  <c r="D47" i="35"/>
  <c r="D45" i="35"/>
  <c r="D43" i="35"/>
  <c r="D39" i="35"/>
  <c r="D37" i="35"/>
  <c r="D35" i="35"/>
  <c r="D33" i="35"/>
  <c r="D31" i="35"/>
  <c r="D29" i="35"/>
  <c r="D27" i="35"/>
  <c r="F25" i="35"/>
  <c r="D24" i="35"/>
  <c r="D23" i="35"/>
  <c r="D22" i="35"/>
  <c r="D21" i="35"/>
  <c r="I20" i="35"/>
  <c r="H20" i="35"/>
  <c r="G20" i="35"/>
  <c r="F20" i="35"/>
  <c r="E20" i="35"/>
  <c r="D20" i="35"/>
  <c r="G11" i="35"/>
  <c r="F11" i="35"/>
  <c r="E11" i="35"/>
  <c r="D11" i="35"/>
  <c r="G10" i="35"/>
  <c r="F10" i="35"/>
  <c r="E10" i="35"/>
  <c r="D10" i="35"/>
  <c r="G9" i="35"/>
  <c r="F9" i="35"/>
  <c r="E9" i="35"/>
  <c r="D9" i="35"/>
  <c r="G8" i="35"/>
  <c r="F8" i="35"/>
  <c r="E8" i="35"/>
  <c r="D8" i="35"/>
  <c r="G7" i="35"/>
  <c r="F7" i="35"/>
  <c r="E7" i="35"/>
  <c r="D7" i="35"/>
  <c r="G6" i="35"/>
  <c r="F6" i="35"/>
  <c r="E6" i="35"/>
  <c r="D6" i="35"/>
  <c r="D54" i="34"/>
  <c r="D52" i="34"/>
  <c r="E46" i="34"/>
  <c r="E48" i="34"/>
  <c r="E44" i="34"/>
  <c r="E1" i="34"/>
  <c r="D48" i="34"/>
  <c r="D46" i="34"/>
  <c r="D44" i="34"/>
  <c r="D42" i="34"/>
  <c r="D38" i="34"/>
  <c r="D36" i="34"/>
  <c r="D34" i="34"/>
  <c r="D32" i="34"/>
  <c r="D30" i="34"/>
  <c r="D28" i="34"/>
  <c r="D26" i="34"/>
  <c r="F24" i="34"/>
  <c r="D23" i="34"/>
  <c r="D22" i="34"/>
  <c r="D21" i="34"/>
  <c r="D20" i="34"/>
  <c r="I19" i="34"/>
  <c r="H19" i="34"/>
  <c r="G19" i="34"/>
  <c r="F19" i="34"/>
  <c r="E19" i="34"/>
  <c r="D19" i="34"/>
  <c r="G11" i="34"/>
  <c r="F11" i="34"/>
  <c r="E11" i="34"/>
  <c r="D11" i="34"/>
  <c r="G10" i="34"/>
  <c r="F10" i="34"/>
  <c r="E10" i="34"/>
  <c r="D10" i="34"/>
  <c r="G9" i="34"/>
  <c r="F9" i="34"/>
  <c r="E9" i="34"/>
  <c r="D9" i="34"/>
  <c r="G8" i="34"/>
  <c r="F8" i="34"/>
  <c r="E8" i="34"/>
  <c r="D8" i="34"/>
  <c r="G7" i="34"/>
  <c r="F7" i="34"/>
  <c r="E7" i="34"/>
  <c r="D7" i="34"/>
  <c r="G6" i="34"/>
  <c r="F6" i="34"/>
  <c r="E6" i="34"/>
  <c r="D6" i="34"/>
  <c r="BQ10" i="12"/>
  <c r="E20" i="34" s="1"/>
  <c r="BQ35" i="12"/>
  <c r="D55" i="33"/>
  <c r="D53" i="33"/>
  <c r="E47" i="33"/>
  <c r="E49" i="33"/>
  <c r="E45" i="33"/>
  <c r="BJ10" i="12"/>
  <c r="BK10" i="12"/>
  <c r="BL10" i="12"/>
  <c r="BM10" i="12"/>
  <c r="BJ11" i="12"/>
  <c r="BK11" i="12"/>
  <c r="BL11" i="12"/>
  <c r="BM11" i="12"/>
  <c r="BJ12" i="12"/>
  <c r="BK12" i="12"/>
  <c r="BL12" i="12"/>
  <c r="BM12" i="12"/>
  <c r="BJ13" i="12"/>
  <c r="BK13" i="12"/>
  <c r="BL13" i="12"/>
  <c r="BM13" i="12"/>
  <c r="BI11" i="12"/>
  <c r="BI12" i="12"/>
  <c r="BI13" i="12"/>
  <c r="BI10" i="12"/>
  <c r="E21" i="33"/>
  <c r="E1" i="33"/>
  <c r="D49" i="33"/>
  <c r="D47" i="33"/>
  <c r="D45" i="33"/>
  <c r="D43" i="33"/>
  <c r="D39" i="33"/>
  <c r="D37" i="33"/>
  <c r="D35" i="33"/>
  <c r="D33" i="33"/>
  <c r="D31" i="33"/>
  <c r="D29" i="33"/>
  <c r="D27" i="33"/>
  <c r="F25" i="33"/>
  <c r="D24" i="33"/>
  <c r="D23" i="33"/>
  <c r="D22" i="33"/>
  <c r="D21" i="33"/>
  <c r="I20" i="33"/>
  <c r="H20" i="33"/>
  <c r="G20" i="33"/>
  <c r="F20" i="33"/>
  <c r="E20" i="33"/>
  <c r="D20" i="33"/>
  <c r="G11" i="33"/>
  <c r="F11" i="33"/>
  <c r="E11" i="33"/>
  <c r="D11" i="33"/>
  <c r="G10" i="33"/>
  <c r="F10" i="33"/>
  <c r="E10" i="33"/>
  <c r="D10" i="33"/>
  <c r="G9" i="33"/>
  <c r="F9" i="33"/>
  <c r="E9" i="33"/>
  <c r="D9" i="33"/>
  <c r="G8" i="33"/>
  <c r="F8" i="33"/>
  <c r="E8" i="33"/>
  <c r="D8" i="33"/>
  <c r="G7" i="33"/>
  <c r="F7" i="33"/>
  <c r="E7" i="33"/>
  <c r="D7" i="33"/>
  <c r="G6" i="33"/>
  <c r="F6" i="33"/>
  <c r="E6" i="33"/>
  <c r="D6" i="33"/>
  <c r="D55" i="32"/>
  <c r="D53" i="32"/>
  <c r="E47" i="32"/>
  <c r="E49" i="32"/>
  <c r="E45" i="32"/>
  <c r="E1" i="32"/>
  <c r="BB10" i="12"/>
  <c r="F21" i="32" s="1"/>
  <c r="BC10" i="12"/>
  <c r="G21" i="32" s="1"/>
  <c r="BD10" i="12"/>
  <c r="H21" i="32" s="1"/>
  <c r="BE10" i="12"/>
  <c r="I21" i="32" s="1"/>
  <c r="F22" i="32"/>
  <c r="G22" i="32"/>
  <c r="H22" i="32"/>
  <c r="I22" i="32"/>
  <c r="F23" i="32"/>
  <c r="G23" i="32"/>
  <c r="H23" i="32"/>
  <c r="I23" i="32"/>
  <c r="F24" i="32"/>
  <c r="G24" i="32"/>
  <c r="H24" i="32"/>
  <c r="I24" i="32"/>
  <c r="E22" i="32"/>
  <c r="E23" i="32"/>
  <c r="E24" i="32"/>
  <c r="BA10" i="12"/>
  <c r="E21" i="32" s="1"/>
  <c r="D49" i="32"/>
  <c r="D47" i="32"/>
  <c r="D45" i="32"/>
  <c r="D43" i="32"/>
  <c r="D39" i="32"/>
  <c r="D37" i="32"/>
  <c r="D35" i="32"/>
  <c r="D33" i="32"/>
  <c r="D31" i="32"/>
  <c r="D29" i="32"/>
  <c r="D27" i="32"/>
  <c r="F25" i="32"/>
  <c r="D24" i="32"/>
  <c r="D23" i="32"/>
  <c r="D22" i="32"/>
  <c r="D21" i="32"/>
  <c r="I20" i="32"/>
  <c r="H20" i="32"/>
  <c r="G20" i="32"/>
  <c r="F20" i="32"/>
  <c r="E20" i="32"/>
  <c r="D20" i="32"/>
  <c r="G11" i="32"/>
  <c r="F11" i="32"/>
  <c r="E11" i="32"/>
  <c r="D11" i="32"/>
  <c r="G10" i="32"/>
  <c r="F10" i="32"/>
  <c r="E10" i="32"/>
  <c r="D10" i="32"/>
  <c r="G9" i="32"/>
  <c r="F9" i="32"/>
  <c r="E9" i="32"/>
  <c r="D9" i="32"/>
  <c r="G8" i="32"/>
  <c r="F8" i="32"/>
  <c r="E8" i="32"/>
  <c r="D8" i="32"/>
  <c r="G7" i="32"/>
  <c r="F7" i="32"/>
  <c r="E7" i="32"/>
  <c r="D7" i="32"/>
  <c r="G6" i="32"/>
  <c r="F6" i="32"/>
  <c r="E6" i="32"/>
  <c r="D6" i="32"/>
  <c r="E1" i="31"/>
  <c r="D55" i="31"/>
  <c r="D53" i="31"/>
  <c r="E47" i="31"/>
  <c r="E49" i="31"/>
  <c r="E45" i="31"/>
  <c r="D49" i="31"/>
  <c r="D47" i="31"/>
  <c r="D45" i="31"/>
  <c r="D43" i="31"/>
  <c r="D39" i="31"/>
  <c r="D37" i="31"/>
  <c r="D35" i="31"/>
  <c r="D33" i="31"/>
  <c r="D31" i="31"/>
  <c r="D29" i="31"/>
  <c r="D27" i="31"/>
  <c r="F25" i="31"/>
  <c r="D24" i="31"/>
  <c r="D23" i="31"/>
  <c r="D22" i="31"/>
  <c r="D21" i="31"/>
  <c r="I20" i="31"/>
  <c r="H20" i="31"/>
  <c r="G20" i="31"/>
  <c r="F20" i="31"/>
  <c r="E20" i="31"/>
  <c r="D20" i="31"/>
  <c r="G11" i="31"/>
  <c r="F11" i="31"/>
  <c r="E11" i="31"/>
  <c r="D11" i="31"/>
  <c r="G10" i="31"/>
  <c r="F10" i="31"/>
  <c r="E10" i="31"/>
  <c r="D10" i="31"/>
  <c r="G9" i="31"/>
  <c r="F9" i="31"/>
  <c r="E9" i="31"/>
  <c r="D9" i="31"/>
  <c r="G8" i="31"/>
  <c r="F8" i="31"/>
  <c r="E8" i="31"/>
  <c r="D8" i="31"/>
  <c r="G7" i="31"/>
  <c r="F7" i="31"/>
  <c r="E7" i="31"/>
  <c r="D7" i="31"/>
  <c r="G6" i="31"/>
  <c r="F6" i="31"/>
  <c r="E6" i="31"/>
  <c r="D6" i="31"/>
  <c r="E49" i="30"/>
  <c r="E51" i="30"/>
  <c r="E47" i="30"/>
  <c r="E1" i="30"/>
  <c r="D51" i="30"/>
  <c r="D49" i="30"/>
  <c r="D47" i="30"/>
  <c r="D45" i="30"/>
  <c r="D41" i="30"/>
  <c r="D39" i="30"/>
  <c r="D37" i="30"/>
  <c r="D35" i="30"/>
  <c r="D33" i="30"/>
  <c r="D31" i="30"/>
  <c r="D29" i="30"/>
  <c r="F28" i="30"/>
  <c r="D27" i="30"/>
  <c r="D26" i="30"/>
  <c r="D25" i="30"/>
  <c r="D24" i="30"/>
  <c r="I23" i="30"/>
  <c r="H23" i="30"/>
  <c r="G23" i="30"/>
  <c r="F23" i="30"/>
  <c r="E23" i="30"/>
  <c r="D23" i="30"/>
  <c r="F20" i="28"/>
  <c r="G20" i="28"/>
  <c r="H20" i="28"/>
  <c r="I20" i="28"/>
  <c r="AD11" i="12"/>
  <c r="F21" i="28" s="1"/>
  <c r="AE11" i="12"/>
  <c r="G21" i="28" s="1"/>
  <c r="AF11" i="12"/>
  <c r="H21" i="28" s="1"/>
  <c r="AG11" i="12"/>
  <c r="I21" i="28" s="1"/>
  <c r="AD12" i="12"/>
  <c r="F22" i="28" s="1"/>
  <c r="AE12" i="12"/>
  <c r="G22" i="28" s="1"/>
  <c r="AF12" i="12"/>
  <c r="H22" i="28" s="1"/>
  <c r="AG12" i="12"/>
  <c r="I22" i="28" s="1"/>
  <c r="AD13" i="12"/>
  <c r="F23" i="28" s="1"/>
  <c r="AE13" i="12"/>
  <c r="G23" i="28" s="1"/>
  <c r="AF13" i="12"/>
  <c r="H23" i="28" s="1"/>
  <c r="AG13" i="12"/>
  <c r="I23" i="28" s="1"/>
  <c r="AC11" i="12"/>
  <c r="E21" i="28" s="1"/>
  <c r="AC12" i="12"/>
  <c r="E22" i="28" s="1"/>
  <c r="AC13" i="12"/>
  <c r="E23" i="28" s="1"/>
  <c r="E20" i="28"/>
  <c r="E46" i="28"/>
  <c r="E48" i="28"/>
  <c r="E44" i="28"/>
  <c r="F24" i="28"/>
  <c r="E1" i="28"/>
  <c r="D48" i="28"/>
  <c r="D46" i="28"/>
  <c r="D44" i="28"/>
  <c r="D42" i="28"/>
  <c r="D38" i="28"/>
  <c r="D36" i="28"/>
  <c r="D34" i="28"/>
  <c r="D32" i="28"/>
  <c r="D30" i="28"/>
  <c r="D28" i="28"/>
  <c r="D26" i="28"/>
  <c r="D23" i="28"/>
  <c r="D22" i="28"/>
  <c r="D21" i="28"/>
  <c r="D20" i="28"/>
  <c r="I19" i="28"/>
  <c r="H19" i="28"/>
  <c r="G19" i="28"/>
  <c r="F19" i="28"/>
  <c r="E19" i="28"/>
  <c r="D19" i="28"/>
  <c r="G11" i="28"/>
  <c r="F11" i="28"/>
  <c r="E11" i="28"/>
  <c r="D11" i="28"/>
  <c r="G10" i="28"/>
  <c r="F10" i="28"/>
  <c r="E10" i="28"/>
  <c r="D10" i="28"/>
  <c r="G9" i="28"/>
  <c r="F9" i="28"/>
  <c r="E9" i="28"/>
  <c r="D9" i="28"/>
  <c r="G8" i="28"/>
  <c r="F8" i="28"/>
  <c r="E8" i="28"/>
  <c r="D8" i="28"/>
  <c r="G7" i="28"/>
  <c r="F7" i="28"/>
  <c r="E7" i="28"/>
  <c r="D7" i="28"/>
  <c r="G6" i="28"/>
  <c r="F6" i="28"/>
  <c r="E6" i="28"/>
  <c r="D6" i="28"/>
  <c r="D54" i="27"/>
  <c r="D52" i="27"/>
  <c r="E46" i="27"/>
  <c r="E48" i="27"/>
  <c r="E44" i="27"/>
  <c r="E46" i="25"/>
  <c r="E48" i="25"/>
  <c r="E44" i="25"/>
  <c r="I21" i="25"/>
  <c r="I22" i="25"/>
  <c r="I23" i="25"/>
  <c r="E1" i="25"/>
  <c r="D48" i="27"/>
  <c r="D46" i="27"/>
  <c r="D44" i="27"/>
  <c r="D42" i="27"/>
  <c r="D38" i="27"/>
  <c r="D36" i="27"/>
  <c r="D34" i="27"/>
  <c r="D32" i="27"/>
  <c r="D30" i="27"/>
  <c r="D28" i="27"/>
  <c r="D26" i="27"/>
  <c r="F24" i="27"/>
  <c r="D23" i="27"/>
  <c r="D22" i="27"/>
  <c r="D21" i="27"/>
  <c r="D20" i="27"/>
  <c r="I19" i="27"/>
  <c r="H19" i="27"/>
  <c r="G19" i="27"/>
  <c r="F19" i="27"/>
  <c r="E19" i="27"/>
  <c r="D19" i="27"/>
  <c r="H14" i="27"/>
  <c r="H13" i="27"/>
  <c r="H12" i="27"/>
  <c r="G11" i="27"/>
  <c r="F11" i="27"/>
  <c r="E11" i="27"/>
  <c r="D11" i="27"/>
  <c r="G10" i="27"/>
  <c r="F10" i="27"/>
  <c r="E10" i="27"/>
  <c r="D10" i="27"/>
  <c r="G9" i="27"/>
  <c r="F9" i="27"/>
  <c r="E9" i="27"/>
  <c r="D9" i="27"/>
  <c r="G8" i="27"/>
  <c r="F8" i="27"/>
  <c r="E8" i="27"/>
  <c r="D8" i="27"/>
  <c r="G7" i="27"/>
  <c r="F7" i="27"/>
  <c r="E7" i="27"/>
  <c r="D7" i="27"/>
  <c r="G6" i="27"/>
  <c r="F6" i="27"/>
  <c r="E6" i="27"/>
  <c r="D6" i="27"/>
  <c r="E1" i="27"/>
  <c r="D48" i="25"/>
  <c r="D46" i="25"/>
  <c r="D44" i="25"/>
  <c r="D42" i="25"/>
  <c r="D38" i="25"/>
  <c r="D36" i="25"/>
  <c r="D34" i="25"/>
  <c r="D32" i="25"/>
  <c r="D30" i="25"/>
  <c r="D28" i="25"/>
  <c r="D26" i="25"/>
  <c r="F24" i="25"/>
  <c r="D23" i="25"/>
  <c r="D22" i="25"/>
  <c r="D21" i="25"/>
  <c r="D20" i="25"/>
  <c r="I19" i="25"/>
  <c r="H19" i="25"/>
  <c r="G19" i="25"/>
  <c r="F19" i="25"/>
  <c r="E19" i="25"/>
  <c r="D19" i="25"/>
  <c r="G11" i="25"/>
  <c r="F11" i="25"/>
  <c r="E11" i="25"/>
  <c r="D11" i="25"/>
  <c r="G10" i="25"/>
  <c r="F10" i="25"/>
  <c r="E10" i="25"/>
  <c r="D10" i="25"/>
  <c r="G9" i="25"/>
  <c r="F9" i="25"/>
  <c r="E9" i="25"/>
  <c r="D9" i="25"/>
  <c r="G8" i="25"/>
  <c r="F8" i="25"/>
  <c r="E8" i="25"/>
  <c r="D8" i="25"/>
  <c r="G7" i="25"/>
  <c r="F7" i="25"/>
  <c r="E7" i="25"/>
  <c r="D7" i="25"/>
  <c r="G6" i="25"/>
  <c r="F6" i="25"/>
  <c r="E6" i="25"/>
  <c r="D6" i="25"/>
  <c r="V10" i="12"/>
  <c r="F20" i="27" s="1"/>
  <c r="W10" i="12"/>
  <c r="G20" i="27" s="1"/>
  <c r="X10" i="12"/>
  <c r="H20" i="27" s="1"/>
  <c r="Y10" i="12"/>
  <c r="I20" i="27" s="1"/>
  <c r="V11" i="12"/>
  <c r="F21" i="27" s="1"/>
  <c r="W11" i="12"/>
  <c r="G21" i="27" s="1"/>
  <c r="X11" i="12"/>
  <c r="H21" i="27" s="1"/>
  <c r="Y11" i="12"/>
  <c r="I21" i="27" s="1"/>
  <c r="V12" i="12"/>
  <c r="F22" i="27" s="1"/>
  <c r="W12" i="12"/>
  <c r="G22" i="27" s="1"/>
  <c r="X12" i="12"/>
  <c r="H22" i="27" s="1"/>
  <c r="Y12" i="12"/>
  <c r="I22" i="27" s="1"/>
  <c r="V13" i="12"/>
  <c r="F23" i="27" s="1"/>
  <c r="W13" i="12"/>
  <c r="G23" i="27" s="1"/>
  <c r="X13" i="12"/>
  <c r="H23" i="27" s="1"/>
  <c r="Y13" i="12"/>
  <c r="I23" i="27" s="1"/>
  <c r="U11" i="12"/>
  <c r="E21" i="27" s="1"/>
  <c r="U12" i="12"/>
  <c r="E22" i="27" s="1"/>
  <c r="U13" i="12"/>
  <c r="E23" i="27" s="1"/>
  <c r="U10" i="12"/>
  <c r="E20" i="27" s="1"/>
  <c r="D55" i="19"/>
  <c r="D26" i="19"/>
  <c r="D47" i="19"/>
  <c r="E48" i="19"/>
  <c r="E50" i="19"/>
  <c r="E52" i="19"/>
  <c r="D50" i="19"/>
  <c r="D52" i="19"/>
  <c r="D48" i="19"/>
  <c r="D38" i="19"/>
  <c r="D32" i="19"/>
  <c r="D34" i="19"/>
  <c r="D36" i="19"/>
  <c r="D30" i="19"/>
  <c r="E33" i="12"/>
  <c r="E44" i="19" s="1"/>
  <c r="P10" i="12"/>
  <c r="H20" i="25" s="1"/>
  <c r="P11" i="12"/>
  <c r="H21" i="25" s="1"/>
  <c r="P12" i="12"/>
  <c r="H22" i="25" s="1"/>
  <c r="P13" i="12"/>
  <c r="H23" i="25" s="1"/>
  <c r="N10" i="12"/>
  <c r="F20" i="25" s="1"/>
  <c r="O10" i="12"/>
  <c r="G20" i="25" s="1"/>
  <c r="N11" i="12"/>
  <c r="F21" i="25" s="1"/>
  <c r="O11" i="12"/>
  <c r="G21" i="25" s="1"/>
  <c r="N12" i="12"/>
  <c r="F22" i="25" s="1"/>
  <c r="O12" i="12"/>
  <c r="G22" i="25" s="1"/>
  <c r="N13" i="12"/>
  <c r="F23" i="25" s="1"/>
  <c r="O13" i="12"/>
  <c r="G23" i="25" s="1"/>
  <c r="M11" i="12"/>
  <c r="E21" i="25" s="1"/>
  <c r="M12" i="12"/>
  <c r="E22" i="25" s="1"/>
  <c r="M13" i="12"/>
  <c r="E23" i="25" s="1"/>
  <c r="M10" i="12"/>
  <c r="E20" i="25" s="1"/>
  <c r="M6" i="12"/>
  <c r="U6" i="12" s="1"/>
  <c r="D6" i="19"/>
  <c r="E28" i="19"/>
  <c r="E34" i="12"/>
  <c r="E45" i="19" s="1"/>
  <c r="E35" i="12"/>
  <c r="E46" i="19" s="1"/>
  <c r="D28" i="19"/>
  <c r="E6" i="19"/>
  <c r="F6" i="19"/>
  <c r="G6" i="19"/>
  <c r="E7" i="19"/>
  <c r="F7" i="19"/>
  <c r="G7" i="19"/>
  <c r="E8" i="19"/>
  <c r="F8" i="19"/>
  <c r="G8" i="19"/>
  <c r="E9" i="19"/>
  <c r="F9" i="19"/>
  <c r="G9" i="19"/>
  <c r="E10" i="19"/>
  <c r="F10" i="19"/>
  <c r="G10" i="19"/>
  <c r="E11" i="19"/>
  <c r="F11" i="19"/>
  <c r="G11" i="19"/>
  <c r="D7" i="19"/>
  <c r="D8" i="19"/>
  <c r="D9" i="19"/>
  <c r="D10" i="19"/>
  <c r="D11" i="19"/>
  <c r="I20" i="19"/>
  <c r="H20" i="19"/>
  <c r="F25" i="19"/>
  <c r="G20" i="19"/>
  <c r="F20" i="19"/>
  <c r="D20" i="19"/>
  <c r="E20" i="19"/>
  <c r="D21" i="19"/>
  <c r="H11" i="12"/>
  <c r="H22" i="19" s="1"/>
  <c r="H12" i="12"/>
  <c r="H23" i="19" s="1"/>
  <c r="H13" i="12"/>
  <c r="H24" i="19" s="1"/>
  <c r="H10" i="12"/>
  <c r="H21" i="19" s="1"/>
  <c r="G11" i="12"/>
  <c r="G22" i="19" s="1"/>
  <c r="G12" i="12"/>
  <c r="G23" i="19" s="1"/>
  <c r="G13" i="12"/>
  <c r="G24" i="19" s="1"/>
  <c r="G10" i="12"/>
  <c r="G21" i="19" s="1"/>
  <c r="F12" i="12"/>
  <c r="F23" i="19" s="1"/>
  <c r="F13" i="12"/>
  <c r="F24" i="19" s="1"/>
  <c r="E12" i="12"/>
  <c r="E23" i="19" s="1"/>
  <c r="E13" i="12"/>
  <c r="E24" i="19" s="1"/>
  <c r="F11" i="12"/>
  <c r="F22" i="19" s="1"/>
  <c r="E11" i="12"/>
  <c r="E22" i="19" s="1"/>
  <c r="E10" i="12"/>
  <c r="E21" i="19" s="1"/>
  <c r="E1" i="19"/>
  <c r="E36" i="19" l="1"/>
  <c r="E33" i="19"/>
  <c r="F22" i="12"/>
  <c r="E34" i="19"/>
  <c r="F23" i="12"/>
  <c r="E35" i="19"/>
  <c r="F24" i="12"/>
  <c r="E37" i="19"/>
  <c r="F26" i="12"/>
  <c r="E30" i="19"/>
  <c r="F19" i="12"/>
  <c r="E38" i="19"/>
  <c r="F27" i="12"/>
  <c r="E31" i="19"/>
  <c r="F20" i="12"/>
  <c r="E39" i="19"/>
  <c r="F28" i="12"/>
  <c r="E29" i="19"/>
  <c r="E32" i="19"/>
  <c r="E36" i="30"/>
  <c r="E35" i="30"/>
  <c r="E42" i="30"/>
  <c r="E34" i="30"/>
  <c r="E41" i="30"/>
  <c r="E33" i="30"/>
  <c r="E40" i="30"/>
  <c r="E32" i="30"/>
  <c r="E39" i="30"/>
  <c r="E31" i="30"/>
  <c r="E38" i="30"/>
  <c r="E37" i="30"/>
  <c r="E29" i="36"/>
  <c r="E32" i="36"/>
  <c r="E35" i="36"/>
  <c r="E38" i="36"/>
  <c r="E31" i="36"/>
  <c r="E34" i="36"/>
  <c r="E37" i="36"/>
  <c r="E40" i="36"/>
  <c r="E30" i="36"/>
  <c r="E33" i="36"/>
  <c r="E36" i="36"/>
  <c r="E39" i="36"/>
  <c r="E35" i="35"/>
  <c r="CA14" i="12"/>
  <c r="CQ14" i="12"/>
  <c r="CI14" i="12"/>
  <c r="E38" i="35"/>
  <c r="E31" i="35"/>
  <c r="E34" i="35"/>
  <c r="E37" i="35"/>
  <c r="E40" i="35"/>
  <c r="E30" i="35"/>
  <c r="E33" i="35"/>
  <c r="E36" i="35"/>
  <c r="E39" i="35"/>
  <c r="E29" i="35"/>
  <c r="E32" i="35"/>
  <c r="E36" i="34"/>
  <c r="E32" i="34"/>
  <c r="E39" i="34"/>
  <c r="E35" i="34"/>
  <c r="E38" i="34"/>
  <c r="BS14" i="12"/>
  <c r="E28" i="34"/>
  <c r="E31" i="34"/>
  <c r="E29" i="34"/>
  <c r="E34" i="34"/>
  <c r="E37" i="34"/>
  <c r="G23" i="34"/>
  <c r="E30" i="34"/>
  <c r="E33" i="34"/>
  <c r="E40" i="33"/>
  <c r="BK14" i="12"/>
  <c r="E32" i="33"/>
  <c r="BC14" i="12"/>
  <c r="E29" i="33"/>
  <c r="E31" i="33"/>
  <c r="E38" i="33"/>
  <c r="E30" i="33"/>
  <c r="E37" i="33"/>
  <c r="E33" i="33"/>
  <c r="E36" i="33"/>
  <c r="E35" i="33"/>
  <c r="E34" i="33"/>
  <c r="E39" i="33"/>
  <c r="E38" i="31"/>
  <c r="E29" i="28"/>
  <c r="E33" i="25"/>
  <c r="E29" i="27"/>
  <c r="E35" i="31"/>
  <c r="E34" i="32"/>
  <c r="E30" i="25"/>
  <c r="E32" i="31"/>
  <c r="E35" i="27"/>
  <c r="E35" i="28"/>
  <c r="E31" i="32"/>
  <c r="E29" i="25"/>
  <c r="E29" i="31"/>
  <c r="E32" i="27"/>
  <c r="E32" i="28"/>
  <c r="E39" i="31"/>
  <c r="E30" i="32"/>
  <c r="AC6" i="12"/>
  <c r="E2" i="27"/>
  <c r="E37" i="32"/>
  <c r="E32" i="25"/>
  <c r="E35" i="25"/>
  <c r="E28" i="27"/>
  <c r="E31" i="27"/>
  <c r="E28" i="28"/>
  <c r="E31" i="28"/>
  <c r="E33" i="32"/>
  <c r="E36" i="32"/>
  <c r="E36" i="25"/>
  <c r="E38" i="28"/>
  <c r="E38" i="25"/>
  <c r="E34" i="27"/>
  <c r="E37" i="27"/>
  <c r="E2" i="25"/>
  <c r="E34" i="28"/>
  <c r="E37" i="28"/>
  <c r="E31" i="31"/>
  <c r="E34" i="31"/>
  <c r="E39" i="32"/>
  <c r="E40" i="32"/>
  <c r="E28" i="25"/>
  <c r="E31" i="25"/>
  <c r="E37" i="31"/>
  <c r="E40" i="31"/>
  <c r="E29" i="32"/>
  <c r="E32" i="32"/>
  <c r="E38" i="27"/>
  <c r="AM14" i="12"/>
  <c r="W14" i="12"/>
  <c r="E34" i="25"/>
  <c r="E37" i="25"/>
  <c r="E30" i="27"/>
  <c r="E33" i="27"/>
  <c r="E30" i="28"/>
  <c r="E33" i="28"/>
  <c r="E30" i="31"/>
  <c r="E35" i="32"/>
  <c r="E38" i="32"/>
  <c r="E39" i="25"/>
  <c r="E36" i="27"/>
  <c r="E39" i="27"/>
  <c r="E36" i="28"/>
  <c r="E39" i="28"/>
  <c r="E33" i="31"/>
  <c r="E36" i="31"/>
  <c r="AE14" i="12"/>
  <c r="E2" i="19"/>
  <c r="O14" i="12"/>
  <c r="G24" i="25" s="1"/>
  <c r="G14" i="12"/>
  <c r="S31" i="4" l="1"/>
  <c r="T40" i="4" s="1"/>
  <c r="Y30" i="4"/>
  <c r="AC31" i="4"/>
  <c r="Q30" i="4"/>
  <c r="W29" i="4"/>
  <c r="AA30" i="4"/>
  <c r="Y29" i="4"/>
  <c r="Z38" i="4" s="1"/>
  <c r="U20" i="6" s="1"/>
  <c r="G66" i="33" s="1"/>
  <c r="AA29" i="4"/>
  <c r="AB38" i="4" s="1"/>
  <c r="W20" i="6" s="1"/>
  <c r="G66" i="34" s="1"/>
  <c r="U31" i="4"/>
  <c r="M29" i="4"/>
  <c r="W30" i="4"/>
  <c r="AC29" i="4"/>
  <c r="AD38" i="4" s="1"/>
  <c r="Y20" i="6" s="1"/>
  <c r="G67" i="35" s="1"/>
  <c r="U30" i="4"/>
  <c r="AE29" i="4"/>
  <c r="AF38" i="4" s="1"/>
  <c r="AA20" i="6" s="1"/>
  <c r="G70" i="36" s="1"/>
  <c r="W31" i="4"/>
  <c r="U29" i="4"/>
  <c r="V38" i="4" s="1"/>
  <c r="Q20" i="6" s="1"/>
  <c r="G67" i="31" s="1"/>
  <c r="Y31" i="4"/>
  <c r="S30" i="4"/>
  <c r="G25" i="35"/>
  <c r="G25" i="36"/>
  <c r="G25" i="33"/>
  <c r="G24" i="34"/>
  <c r="G24" i="27"/>
  <c r="G24" i="28"/>
  <c r="G28" i="30"/>
  <c r="G25" i="31"/>
  <c r="G25" i="32"/>
  <c r="E2" i="28"/>
  <c r="AK6" i="12"/>
  <c r="G25" i="19"/>
  <c r="D1" i="6" a="1"/>
  <c r="D1" i="6" s="1"/>
  <c r="E29" i="4"/>
  <c r="AG84" i="4"/>
  <c r="AH93" i="4" s="1"/>
  <c r="AC57" i="6" s="1"/>
  <c r="AC85" i="4"/>
  <c r="AD94" i="4" s="1"/>
  <c r="Y58" i="6" s="1"/>
  <c r="G88" i="35" s="1"/>
  <c r="AE85" i="4"/>
  <c r="AF94" i="4" s="1"/>
  <c r="AA58" i="6" s="1"/>
  <c r="G91" i="36" s="1"/>
  <c r="AG85" i="4"/>
  <c r="AH94" i="4" s="1"/>
  <c r="AC58" i="6" s="1"/>
  <c r="AE86" i="4"/>
  <c r="AF95" i="4" s="1"/>
  <c r="AA59" i="6" s="1"/>
  <c r="G92" i="36" s="1"/>
  <c r="AG86" i="4"/>
  <c r="AH95" i="4" s="1"/>
  <c r="AC59" i="6" s="1"/>
  <c r="Q86" i="4"/>
  <c r="R95" i="4" s="1"/>
  <c r="M59" i="6" s="1"/>
  <c r="G88" i="28" s="1"/>
  <c r="Q84" i="4"/>
  <c r="R93" i="4" s="1"/>
  <c r="M57" i="6" s="1"/>
  <c r="G86" i="28" s="1"/>
  <c r="O86" i="4"/>
  <c r="P95" i="4" s="1"/>
  <c r="K59" i="6" s="1"/>
  <c r="G88" i="27" s="1"/>
  <c r="O85" i="4"/>
  <c r="P94" i="4" s="1"/>
  <c r="K58" i="6" s="1"/>
  <c r="G87" i="27" s="1"/>
  <c r="M85" i="4"/>
  <c r="N94" i="4" s="1"/>
  <c r="I58" i="6" s="1"/>
  <c r="G87" i="25" s="1"/>
  <c r="M86" i="4"/>
  <c r="N95" i="4" s="1"/>
  <c r="I59" i="6" s="1"/>
  <c r="G88" i="25" s="1"/>
  <c r="K86" i="4"/>
  <c r="L95" i="4" s="1"/>
  <c r="K85" i="4"/>
  <c r="L94" i="4" s="1"/>
  <c r="K84" i="4"/>
  <c r="AG71" i="4"/>
  <c r="AH80" i="4" s="1"/>
  <c r="AC47" i="6" s="1"/>
  <c r="AC72" i="4"/>
  <c r="AD81" i="4" s="1"/>
  <c r="Y48" i="6" s="1"/>
  <c r="G83" i="35" s="1"/>
  <c r="AE72" i="4"/>
  <c r="AF81" i="4" s="1"/>
  <c r="AA48" i="6" s="1"/>
  <c r="AG72" i="4"/>
  <c r="AH81" i="4" s="1"/>
  <c r="AC48" i="6" s="1"/>
  <c r="AE73" i="4"/>
  <c r="AF82" i="4" s="1"/>
  <c r="AA49" i="6" s="1"/>
  <c r="AG73" i="4"/>
  <c r="AH82" i="4" s="1"/>
  <c r="AC49" i="6" s="1"/>
  <c r="Q73" i="4"/>
  <c r="R82" i="4" s="1"/>
  <c r="M49" i="6" s="1"/>
  <c r="G83" i="28" s="1"/>
  <c r="Q71" i="4"/>
  <c r="R80" i="4" s="1"/>
  <c r="M47" i="6" s="1"/>
  <c r="G81" i="28" s="1"/>
  <c r="O72" i="4"/>
  <c r="P81" i="4" s="1"/>
  <c r="K48" i="6" s="1"/>
  <c r="G82" i="27" s="1"/>
  <c r="O73" i="4"/>
  <c r="P82" i="4" s="1"/>
  <c r="K49" i="6" s="1"/>
  <c r="G83" i="27" s="1"/>
  <c r="M72" i="4"/>
  <c r="N81" i="4" s="1"/>
  <c r="I48" i="6" s="1"/>
  <c r="G82" i="25" s="1"/>
  <c r="M73" i="4"/>
  <c r="N82" i="4" s="1"/>
  <c r="I49" i="6" s="1"/>
  <c r="G83" i="25" s="1"/>
  <c r="K72" i="4"/>
  <c r="L81" i="4" s="1"/>
  <c r="K73" i="4"/>
  <c r="L82" i="4" s="1"/>
  <c r="G84" i="19" s="1"/>
  <c r="K71" i="4"/>
  <c r="L80" i="4" s="1"/>
  <c r="F3" i="6"/>
  <c r="H3" i="6" s="1"/>
  <c r="J3" i="6" s="1"/>
  <c r="L3" i="6" s="1"/>
  <c r="N3" i="6" s="1"/>
  <c r="P3" i="6" s="1"/>
  <c r="R3" i="6" s="1"/>
  <c r="T3" i="6" s="1"/>
  <c r="V3" i="6" s="1"/>
  <c r="X3" i="6" s="1"/>
  <c r="Z3" i="6" s="1"/>
  <c r="AB3" i="6" s="1"/>
  <c r="M66" i="4"/>
  <c r="H38" i="6" s="1"/>
  <c r="F76" i="25" s="1"/>
  <c r="O66" i="4"/>
  <c r="J38" i="6" s="1"/>
  <c r="F76" i="27" s="1"/>
  <c r="Q66" i="4"/>
  <c r="L38" i="6" s="1"/>
  <c r="F76" i="28" s="1"/>
  <c r="S66" i="4"/>
  <c r="N38" i="6" s="1"/>
  <c r="F78" i="30" s="1"/>
  <c r="U66" i="4"/>
  <c r="P38" i="6" s="1"/>
  <c r="F77" i="31" s="1"/>
  <c r="W66" i="4"/>
  <c r="R38" i="6" s="1"/>
  <c r="F77" i="32" s="1"/>
  <c r="Y66" i="4"/>
  <c r="T38" i="6" s="1"/>
  <c r="F76" i="33" s="1"/>
  <c r="AA66" i="4"/>
  <c r="V38" i="6" s="1"/>
  <c r="F76" i="34" s="1"/>
  <c r="AC66" i="4"/>
  <c r="X38" i="6" s="1"/>
  <c r="F77" i="35" s="1"/>
  <c r="AE66" i="4"/>
  <c r="Z38" i="6" s="1"/>
  <c r="F85" i="36" s="1"/>
  <c r="AG66" i="4"/>
  <c r="AB38" i="6" s="1"/>
  <c r="M67" i="4"/>
  <c r="H39" i="6" s="1"/>
  <c r="F77" i="25" s="1"/>
  <c r="O67" i="4"/>
  <c r="J39" i="6" s="1"/>
  <c r="F77" i="27" s="1"/>
  <c r="Q67" i="4"/>
  <c r="L39" i="6" s="1"/>
  <c r="F77" i="28" s="1"/>
  <c r="S67" i="4"/>
  <c r="N39" i="6" s="1"/>
  <c r="F79" i="30" s="1"/>
  <c r="U67" i="4"/>
  <c r="P39" i="6" s="1"/>
  <c r="F78" i="31" s="1"/>
  <c r="W67" i="4"/>
  <c r="R39" i="6" s="1"/>
  <c r="F78" i="32" s="1"/>
  <c r="Y67" i="4"/>
  <c r="T39" i="6" s="1"/>
  <c r="F77" i="33" s="1"/>
  <c r="AA67" i="4"/>
  <c r="V39" i="6" s="1"/>
  <c r="F77" i="34" s="1"/>
  <c r="AC67" i="4"/>
  <c r="X39" i="6" s="1"/>
  <c r="F78" i="35" s="1"/>
  <c r="AE67" i="4"/>
  <c r="Z39" i="6" s="1"/>
  <c r="F86" i="36" s="1"/>
  <c r="AG67" i="4"/>
  <c r="AB39" i="6" s="1"/>
  <c r="M68" i="4"/>
  <c r="H40" i="6" s="1"/>
  <c r="F78" i="25" s="1"/>
  <c r="O68" i="4"/>
  <c r="J40" i="6" s="1"/>
  <c r="F78" i="27" s="1"/>
  <c r="Q68" i="4"/>
  <c r="L40" i="6" s="1"/>
  <c r="F78" i="28" s="1"/>
  <c r="S68" i="4"/>
  <c r="N40" i="6" s="1"/>
  <c r="F80" i="30" s="1"/>
  <c r="U68" i="4"/>
  <c r="P40" i="6" s="1"/>
  <c r="F79" i="31" s="1"/>
  <c r="W68" i="4"/>
  <c r="R40" i="6" s="1"/>
  <c r="F79" i="32" s="1"/>
  <c r="Y68" i="4"/>
  <c r="T40" i="6" s="1"/>
  <c r="F78" i="33" s="1"/>
  <c r="AA68" i="4"/>
  <c r="V40" i="6" s="1"/>
  <c r="F78" i="34" s="1"/>
  <c r="AC68" i="4"/>
  <c r="X40" i="6" s="1"/>
  <c r="F79" i="35" s="1"/>
  <c r="AE68" i="4"/>
  <c r="Z40" i="6" s="1"/>
  <c r="F87" i="36" s="1"/>
  <c r="AG68" i="4"/>
  <c r="AB40" i="6" s="1"/>
  <c r="K67" i="4"/>
  <c r="K68" i="4"/>
  <c r="F79" i="19" s="1"/>
  <c r="K66" i="4"/>
  <c r="M52" i="4"/>
  <c r="O52" i="4"/>
  <c r="J29" i="6" s="1"/>
  <c r="F71" i="27" s="1"/>
  <c r="Q52" i="4"/>
  <c r="L29" i="6" s="1"/>
  <c r="F71" i="28" s="1"/>
  <c r="S52" i="4"/>
  <c r="N29" i="6" s="1"/>
  <c r="F73" i="30" s="1"/>
  <c r="U52" i="4"/>
  <c r="P29" i="6" s="1"/>
  <c r="F72" i="31" s="1"/>
  <c r="W52" i="4"/>
  <c r="R29" i="6" s="1"/>
  <c r="F72" i="32" s="1"/>
  <c r="Y52" i="4"/>
  <c r="T29" i="6" s="1"/>
  <c r="F71" i="33" s="1"/>
  <c r="AA52" i="4"/>
  <c r="V29" i="6" s="1"/>
  <c r="F71" i="34" s="1"/>
  <c r="AC52" i="4"/>
  <c r="X29" i="6" s="1"/>
  <c r="F72" i="35" s="1"/>
  <c r="AE52" i="4"/>
  <c r="Z29" i="6" s="1"/>
  <c r="AG52" i="4"/>
  <c r="AB29" i="6" s="1"/>
  <c r="M53" i="4"/>
  <c r="O53" i="4"/>
  <c r="J30" i="6" s="1"/>
  <c r="F72" i="27" s="1"/>
  <c r="Q53" i="4"/>
  <c r="L30" i="6" s="1"/>
  <c r="F72" i="28" s="1"/>
  <c r="S53" i="4"/>
  <c r="N30" i="6" s="1"/>
  <c r="F74" i="30" s="1"/>
  <c r="U53" i="4"/>
  <c r="P30" i="6" s="1"/>
  <c r="F73" i="31" s="1"/>
  <c r="W53" i="4"/>
  <c r="R30" i="6" s="1"/>
  <c r="F73" i="32" s="1"/>
  <c r="Y53" i="4"/>
  <c r="T30" i="6" s="1"/>
  <c r="F72" i="33" s="1"/>
  <c r="AA53" i="4"/>
  <c r="V30" i="6" s="1"/>
  <c r="F72" i="34" s="1"/>
  <c r="AC53" i="4"/>
  <c r="X30" i="6" s="1"/>
  <c r="F73" i="35" s="1"/>
  <c r="AE53" i="4"/>
  <c r="Z30" i="6" s="1"/>
  <c r="AG53" i="4"/>
  <c r="AB30" i="6" s="1"/>
  <c r="M54" i="4"/>
  <c r="O54" i="4"/>
  <c r="J31" i="6" s="1"/>
  <c r="F73" i="27" s="1"/>
  <c r="Q54" i="4"/>
  <c r="L31" i="6" s="1"/>
  <c r="F73" i="28" s="1"/>
  <c r="S54" i="4"/>
  <c r="N31" i="6" s="1"/>
  <c r="F75" i="30" s="1"/>
  <c r="U54" i="4"/>
  <c r="P31" i="6" s="1"/>
  <c r="F74" i="31" s="1"/>
  <c r="W54" i="4"/>
  <c r="R31" i="6" s="1"/>
  <c r="F74" i="32" s="1"/>
  <c r="Y54" i="4"/>
  <c r="T31" i="6" s="1"/>
  <c r="F73" i="33" s="1"/>
  <c r="AA54" i="4"/>
  <c r="V31" i="6" s="1"/>
  <c r="F73" i="34" s="1"/>
  <c r="AC54" i="4"/>
  <c r="X31" i="6" s="1"/>
  <c r="F74" i="35" s="1"/>
  <c r="AE54" i="4"/>
  <c r="Z31" i="6" s="1"/>
  <c r="AG54" i="4"/>
  <c r="AB31" i="6" s="1"/>
  <c r="K53" i="4"/>
  <c r="F30" i="6" s="1"/>
  <c r="K54" i="4"/>
  <c r="F31" i="6" s="1"/>
  <c r="K47" i="4"/>
  <c r="K52" i="4" s="1"/>
  <c r="F29" i="6" s="1"/>
  <c r="K38" i="4"/>
  <c r="F20" i="6" s="1"/>
  <c r="AG82" i="4"/>
  <c r="AB49" i="6" s="1"/>
  <c r="AE82" i="4"/>
  <c r="Z49" i="6" s="1"/>
  <c r="AC82" i="4"/>
  <c r="X49" i="6" s="1"/>
  <c r="F84" i="35" s="1"/>
  <c r="AA82" i="4"/>
  <c r="V49" i="6" s="1"/>
  <c r="F83" i="34" s="1"/>
  <c r="Y82" i="4"/>
  <c r="T49" i="6" s="1"/>
  <c r="F83" i="33" s="1"/>
  <c r="W82" i="4"/>
  <c r="R49" i="6" s="1"/>
  <c r="F84" i="32" s="1"/>
  <c r="U82" i="4"/>
  <c r="P49" i="6" s="1"/>
  <c r="F84" i="31" s="1"/>
  <c r="S82" i="4"/>
  <c r="N49" i="6" s="1"/>
  <c r="F85" i="30" s="1"/>
  <c r="Q82" i="4"/>
  <c r="L49" i="6" s="1"/>
  <c r="F83" i="28" s="1"/>
  <c r="O82" i="4"/>
  <c r="J49" i="6" s="1"/>
  <c r="F83" i="27" s="1"/>
  <c r="H49" i="6"/>
  <c r="F83" i="25" s="1"/>
  <c r="K82" i="4"/>
  <c r="F84" i="19" s="1"/>
  <c r="AG81" i="4"/>
  <c r="AB48" i="6" s="1"/>
  <c r="AE81" i="4"/>
  <c r="Z48" i="6" s="1"/>
  <c r="AC81" i="4"/>
  <c r="X48" i="6" s="1"/>
  <c r="F83" i="35" s="1"/>
  <c r="AA81" i="4"/>
  <c r="V48" i="6" s="1"/>
  <c r="F82" i="34" s="1"/>
  <c r="Y81" i="4"/>
  <c r="T48" i="6" s="1"/>
  <c r="F82" i="33" s="1"/>
  <c r="W81" i="4"/>
  <c r="R48" i="6" s="1"/>
  <c r="F83" i="32" s="1"/>
  <c r="U81" i="4"/>
  <c r="P48" i="6" s="1"/>
  <c r="F83" i="31" s="1"/>
  <c r="S81" i="4"/>
  <c r="N48" i="6" s="1"/>
  <c r="F84" i="30" s="1"/>
  <c r="Q81" i="4"/>
  <c r="L48" i="6" s="1"/>
  <c r="F82" i="28" s="1"/>
  <c r="O81" i="4"/>
  <c r="J48" i="6" s="1"/>
  <c r="F82" i="27" s="1"/>
  <c r="M81" i="4"/>
  <c r="H48" i="6" s="1"/>
  <c r="F82" i="25" s="1"/>
  <c r="F48" i="6"/>
  <c r="AG80" i="4"/>
  <c r="AB47" i="6" s="1"/>
  <c r="AE80" i="4"/>
  <c r="Z47" i="6" s="1"/>
  <c r="AC80" i="4"/>
  <c r="X47" i="6" s="1"/>
  <c r="F82" i="35" s="1"/>
  <c r="AA80" i="4"/>
  <c r="V47" i="6" s="1"/>
  <c r="F81" i="34" s="1"/>
  <c r="Y80" i="4"/>
  <c r="T47" i="6" s="1"/>
  <c r="F81" i="33" s="1"/>
  <c r="W80" i="4"/>
  <c r="R47" i="6" s="1"/>
  <c r="F82" i="32" s="1"/>
  <c r="U80" i="4"/>
  <c r="P47" i="6" s="1"/>
  <c r="F82" i="31" s="1"/>
  <c r="S80" i="4"/>
  <c r="N47" i="6" s="1"/>
  <c r="F83" i="30" s="1"/>
  <c r="Q80" i="4"/>
  <c r="L47" i="6" s="1"/>
  <c r="F81" i="28" s="1"/>
  <c r="O80" i="4"/>
  <c r="J47" i="6" s="1"/>
  <c r="F81" i="27" s="1"/>
  <c r="M80" i="4"/>
  <c r="H47" i="6" s="1"/>
  <c r="F81" i="25" s="1"/>
  <c r="K80" i="4"/>
  <c r="AG57" i="4"/>
  <c r="AH66" i="4" s="1"/>
  <c r="AC38" i="6" s="1"/>
  <c r="AC58" i="4"/>
  <c r="AD67" i="4" s="1"/>
  <c r="Y39" i="6" s="1"/>
  <c r="G78" i="35" s="1"/>
  <c r="AE58" i="4"/>
  <c r="AF67" i="4" s="1"/>
  <c r="AA39" i="6" s="1"/>
  <c r="G86" i="36" s="1"/>
  <c r="AG58" i="4"/>
  <c r="AH67" i="4" s="1"/>
  <c r="AC39" i="6" s="1"/>
  <c r="AE59" i="4"/>
  <c r="AF68" i="4" s="1"/>
  <c r="AA40" i="6" s="1"/>
  <c r="G87" i="36" s="1"/>
  <c r="AG59" i="4"/>
  <c r="AH68" i="4" s="1"/>
  <c r="AC40" i="6" s="1"/>
  <c r="Q59" i="4"/>
  <c r="R68" i="4" s="1"/>
  <c r="M40" i="6" s="1"/>
  <c r="G78" i="28" s="1"/>
  <c r="Q57" i="4"/>
  <c r="R66" i="4" s="1"/>
  <c r="M38" i="6" s="1"/>
  <c r="G76" i="28" s="1"/>
  <c r="O58" i="4"/>
  <c r="P67" i="4" s="1"/>
  <c r="K39" i="6" s="1"/>
  <c r="G77" i="27" s="1"/>
  <c r="O59" i="4"/>
  <c r="P68" i="4" s="1"/>
  <c r="K40" i="6" s="1"/>
  <c r="G78" i="27" s="1"/>
  <c r="M58" i="4"/>
  <c r="N67" i="4" s="1"/>
  <c r="I39" i="6" s="1"/>
  <c r="G77" i="25" s="1"/>
  <c r="M59" i="4"/>
  <c r="N68" i="4" s="1"/>
  <c r="I40" i="6" s="1"/>
  <c r="G78" i="25" s="1"/>
  <c r="K58" i="4"/>
  <c r="L67" i="4" s="1"/>
  <c r="K59" i="4"/>
  <c r="L68" i="4" s="1"/>
  <c r="G79" i="19" s="1"/>
  <c r="K57" i="4"/>
  <c r="L66" i="4" s="1"/>
  <c r="AG43" i="4"/>
  <c r="AH52" i="4" s="1"/>
  <c r="AC29" i="6" s="1"/>
  <c r="AC44" i="4"/>
  <c r="AD53" i="4" s="1"/>
  <c r="Y30" i="6" s="1"/>
  <c r="G73" i="35" s="1"/>
  <c r="AE44" i="4"/>
  <c r="AF53" i="4" s="1"/>
  <c r="AA30" i="6" s="1"/>
  <c r="AG44" i="4"/>
  <c r="AH53" i="4" s="1"/>
  <c r="AC30" i="6" s="1"/>
  <c r="AE45" i="4"/>
  <c r="AF54" i="4" s="1"/>
  <c r="AA31" i="6" s="1"/>
  <c r="AG45" i="4"/>
  <c r="AH54" i="4" s="1"/>
  <c r="AC31" i="6" s="1"/>
  <c r="Q45" i="4"/>
  <c r="R54" i="4" s="1"/>
  <c r="M31" i="6" s="1"/>
  <c r="G73" i="28" s="1"/>
  <c r="Q43" i="4"/>
  <c r="R52" i="4" s="1"/>
  <c r="M29" i="6" s="1"/>
  <c r="G71" i="28" s="1"/>
  <c r="O44" i="4"/>
  <c r="P53" i="4" s="1"/>
  <c r="K30" i="6" s="1"/>
  <c r="G72" i="27" s="1"/>
  <c r="O45" i="4"/>
  <c r="P54" i="4" s="1"/>
  <c r="K31" i="6" s="1"/>
  <c r="G73" i="27" s="1"/>
  <c r="K43" i="4"/>
  <c r="L52" i="4" s="1"/>
  <c r="G29" i="6" s="1"/>
  <c r="M44" i="4"/>
  <c r="N53" i="4" s="1"/>
  <c r="M45" i="4"/>
  <c r="N54" i="4" s="1"/>
  <c r="K44" i="4"/>
  <c r="L53" i="4" s="1"/>
  <c r="G30" i="6" s="1"/>
  <c r="K45" i="4"/>
  <c r="L54" i="4" s="1"/>
  <c r="G31" i="6" s="1"/>
  <c r="K29" i="4"/>
  <c r="L38" i="4" s="1"/>
  <c r="G20" i="6" s="1"/>
  <c r="R38" i="4"/>
  <c r="M20" i="6" s="1"/>
  <c r="G66" i="28" s="1"/>
  <c r="R40" i="4"/>
  <c r="M22" i="6" s="1"/>
  <c r="G68" i="28" s="1"/>
  <c r="O30" i="4"/>
  <c r="P39" i="4" s="1"/>
  <c r="K21" i="6" s="1"/>
  <c r="O31" i="4"/>
  <c r="P40" i="4" s="1"/>
  <c r="K22" i="6" s="1"/>
  <c r="M30" i="4"/>
  <c r="N39" i="4" s="1"/>
  <c r="M31" i="4"/>
  <c r="N40" i="4" s="1"/>
  <c r="K31" i="4"/>
  <c r="L40" i="4" s="1"/>
  <c r="G22" i="6" s="1"/>
  <c r="K30" i="4"/>
  <c r="L39" i="4" s="1"/>
  <c r="G21" i="6" s="1"/>
  <c r="AH38" i="4"/>
  <c r="AC20" i="6" s="1"/>
  <c r="X38" i="4"/>
  <c r="S20" i="6" s="1"/>
  <c r="G67" i="32" s="1"/>
  <c r="T38" i="4"/>
  <c r="O20" i="6" s="1"/>
  <c r="G68" i="30" s="1"/>
  <c r="AG15" i="4"/>
  <c r="AH24" i="4" s="1"/>
  <c r="AC10" i="6" s="1"/>
  <c r="AC16" i="4"/>
  <c r="AE16" i="4"/>
  <c r="AF25" i="4" s="1"/>
  <c r="AG16" i="4"/>
  <c r="AH25" i="4" s="1"/>
  <c r="AC11" i="6" s="1"/>
  <c r="AE17" i="4"/>
  <c r="AF26" i="4" s="1"/>
  <c r="AA12" i="6" s="1"/>
  <c r="G67" i="36" s="1"/>
  <c r="AG17" i="4"/>
  <c r="AH26" i="4" s="1"/>
  <c r="AC12" i="6" s="1"/>
  <c r="Q17" i="4"/>
  <c r="R26" i="4" s="1"/>
  <c r="M12" i="6" s="1"/>
  <c r="G63" i="28" s="1"/>
  <c r="Q15" i="4"/>
  <c r="R24" i="4" s="1"/>
  <c r="O17" i="4"/>
  <c r="P26" i="4" s="1"/>
  <c r="K12" i="6" s="1"/>
  <c r="K17" i="4"/>
  <c r="L26" i="4" s="1"/>
  <c r="G12" i="6" s="1"/>
  <c r="K16" i="4"/>
  <c r="L25" i="4" s="1"/>
  <c r="G11" i="6" s="1"/>
  <c r="K15" i="4"/>
  <c r="L24" i="4" s="1"/>
  <c r="G10" i="6" s="1"/>
  <c r="Y39" i="4"/>
  <c r="T21" i="6" s="1"/>
  <c r="F67" i="33" s="1"/>
  <c r="Y40" i="4"/>
  <c r="T22" i="6" s="1"/>
  <c r="F68" i="33" s="1"/>
  <c r="AA39" i="4"/>
  <c r="V21" i="6" s="1"/>
  <c r="F67" i="34" s="1"/>
  <c r="AA40" i="4"/>
  <c r="V22" i="6" s="1"/>
  <c r="F68" i="34" s="1"/>
  <c r="AC39" i="4"/>
  <c r="X21" i="6" s="1"/>
  <c r="F68" i="35" s="1"/>
  <c r="X22" i="6"/>
  <c r="F69" i="35" s="1"/>
  <c r="AE40" i="4"/>
  <c r="Z22" i="6" s="1"/>
  <c r="F72" i="36" s="1"/>
  <c r="AE39" i="4"/>
  <c r="Z21" i="6" s="1"/>
  <c r="F71" i="36" s="1"/>
  <c r="AG39" i="4"/>
  <c r="AB21" i="6" s="1"/>
  <c r="AG40" i="4"/>
  <c r="AB22" i="6" s="1"/>
  <c r="AG38" i="4"/>
  <c r="AB20" i="6" s="1"/>
  <c r="AE38" i="4"/>
  <c r="Z20" i="6" s="1"/>
  <c r="F70" i="36" s="1"/>
  <c r="AC38" i="4"/>
  <c r="X20" i="6" s="1"/>
  <c r="F67" i="35" s="1"/>
  <c r="AA38" i="4"/>
  <c r="V20" i="6" s="1"/>
  <c r="F66" i="34" s="1"/>
  <c r="Y38" i="4"/>
  <c r="T20" i="6" s="1"/>
  <c r="F66" i="33" s="1"/>
  <c r="W39" i="4"/>
  <c r="R21" i="6" s="1"/>
  <c r="F68" i="32" s="1"/>
  <c r="W40" i="4"/>
  <c r="R22" i="6" s="1"/>
  <c r="F69" i="32" s="1"/>
  <c r="W38" i="4"/>
  <c r="R20" i="6" s="1"/>
  <c r="F67" i="32" s="1"/>
  <c r="U39" i="4"/>
  <c r="P21" i="6" s="1"/>
  <c r="F68" i="31" s="1"/>
  <c r="U40" i="4"/>
  <c r="P22" i="6" s="1"/>
  <c r="F69" i="31" s="1"/>
  <c r="U38" i="4"/>
  <c r="P20" i="6" s="1"/>
  <c r="F67" i="31" s="1"/>
  <c r="S39" i="4"/>
  <c r="N21" i="6" s="1"/>
  <c r="F69" i="30" s="1"/>
  <c r="S40" i="4"/>
  <c r="N22" i="6" s="1"/>
  <c r="F70" i="30" s="1"/>
  <c r="N20" i="6"/>
  <c r="F68" i="30" s="1"/>
  <c r="Q39" i="4"/>
  <c r="L21" i="6" s="1"/>
  <c r="F67" i="28" s="1"/>
  <c r="Q40" i="4"/>
  <c r="L22" i="6" s="1"/>
  <c r="F68" i="28" s="1"/>
  <c r="Q38" i="4"/>
  <c r="L20" i="6" s="1"/>
  <c r="F66" i="28" s="1"/>
  <c r="O39" i="4"/>
  <c r="J21" i="6" s="1"/>
  <c r="F67" i="27" s="1"/>
  <c r="O40" i="4"/>
  <c r="J22" i="6" s="1"/>
  <c r="F68" i="27" s="1"/>
  <c r="O38" i="4"/>
  <c r="J20" i="6" s="1"/>
  <c r="F66" i="27" s="1"/>
  <c r="M39" i="4"/>
  <c r="M40" i="4"/>
  <c r="M38" i="4"/>
  <c r="K34" i="4"/>
  <c r="K35" i="4"/>
  <c r="M17" i="4"/>
  <c r="N26" i="4" s="1"/>
  <c r="M16" i="4"/>
  <c r="N25" i="4" s="1"/>
  <c r="Q20" i="4"/>
  <c r="Q25" i="4" s="1"/>
  <c r="Q21" i="4"/>
  <c r="Q95" i="4" s="1"/>
  <c r="L59" i="6" s="1"/>
  <c r="F88" i="28" s="1"/>
  <c r="S20" i="4"/>
  <c r="S94" i="4" s="1"/>
  <c r="N58" i="6" s="1"/>
  <c r="F89" i="30" s="1"/>
  <c r="S21" i="4"/>
  <c r="S26" i="4" s="1"/>
  <c r="N12" i="6" s="1"/>
  <c r="F65" i="30" s="1"/>
  <c r="U20" i="4"/>
  <c r="U94" i="4" s="1"/>
  <c r="P58" i="6" s="1"/>
  <c r="F88" i="31" s="1"/>
  <c r="U21" i="4"/>
  <c r="U95" i="4" s="1"/>
  <c r="P59" i="6" s="1"/>
  <c r="F89" i="31" s="1"/>
  <c r="W20" i="4"/>
  <c r="W94" i="4" s="1"/>
  <c r="R58" i="6" s="1"/>
  <c r="F88" i="32" s="1"/>
  <c r="W21" i="4"/>
  <c r="W95" i="4" s="1"/>
  <c r="R59" i="6" s="1"/>
  <c r="F89" i="32" s="1"/>
  <c r="Y20" i="4"/>
  <c r="Y94" i="4" s="1"/>
  <c r="T58" i="6" s="1"/>
  <c r="F87" i="33" s="1"/>
  <c r="Y21" i="4"/>
  <c r="Y26" i="4" s="1"/>
  <c r="T12" i="6" s="1"/>
  <c r="F63" i="33" s="1"/>
  <c r="AA20" i="4"/>
  <c r="AA94" i="4" s="1"/>
  <c r="V58" i="6" s="1"/>
  <c r="F87" i="34" s="1"/>
  <c r="AA21" i="4"/>
  <c r="AA26" i="4" s="1"/>
  <c r="V12" i="6" s="1"/>
  <c r="F63" i="34" s="1"/>
  <c r="AC20" i="4"/>
  <c r="AC94" i="4" s="1"/>
  <c r="X58" i="6" s="1"/>
  <c r="F88" i="35" s="1"/>
  <c r="AC21" i="4"/>
  <c r="AC95" i="4" s="1"/>
  <c r="X59" i="6" s="1"/>
  <c r="F89" i="35" s="1"/>
  <c r="AG20" i="4"/>
  <c r="AG94" i="4" s="1"/>
  <c r="AB58" i="6" s="1"/>
  <c r="AG21" i="4"/>
  <c r="AG26" i="4" s="1"/>
  <c r="AB12" i="6" s="1"/>
  <c r="AG19" i="4"/>
  <c r="AG24" i="4" s="1"/>
  <c r="AB10" i="6" s="1"/>
  <c r="AE20" i="4"/>
  <c r="AE94" i="4" s="1"/>
  <c r="Z58" i="6" s="1"/>
  <c r="F91" i="36" s="1"/>
  <c r="AE21" i="4"/>
  <c r="AE26" i="4" s="1"/>
  <c r="Z12" i="6" s="1"/>
  <c r="F67" i="36" s="1"/>
  <c r="AE19" i="4"/>
  <c r="AE24" i="4" s="1"/>
  <c r="Z10" i="6" s="1"/>
  <c r="AC19" i="4"/>
  <c r="AC24" i="4" s="1"/>
  <c r="AA19" i="4"/>
  <c r="AA93" i="4" s="1"/>
  <c r="V57" i="6" s="1"/>
  <c r="F86" i="34" s="1"/>
  <c r="Y19" i="4"/>
  <c r="Y93" i="4" s="1"/>
  <c r="T57" i="6" s="1"/>
  <c r="F86" i="33" s="1"/>
  <c r="W19" i="4"/>
  <c r="W93" i="4" s="1"/>
  <c r="R57" i="6" s="1"/>
  <c r="F87" i="32" s="1"/>
  <c r="U19" i="4"/>
  <c r="U93" i="4" s="1"/>
  <c r="P57" i="6" s="1"/>
  <c r="F87" i="31" s="1"/>
  <c r="S24" i="4"/>
  <c r="Q19" i="4"/>
  <c r="Q93" i="4" s="1"/>
  <c r="L57" i="6" s="1"/>
  <c r="F86" i="28" s="1"/>
  <c r="O94" i="4"/>
  <c r="J58" i="6" s="1"/>
  <c r="F87" i="27" s="1"/>
  <c r="O95" i="4"/>
  <c r="J59" i="6" s="1"/>
  <c r="F88" i="27" s="1"/>
  <c r="O93" i="4"/>
  <c r="J57" i="6" s="1"/>
  <c r="F86" i="27" s="1"/>
  <c r="M95" i="4"/>
  <c r="H59" i="6" s="1"/>
  <c r="F88" i="25" s="1"/>
  <c r="M25" i="4"/>
  <c r="M24" i="4"/>
  <c r="F61" i="25" s="1"/>
  <c r="K26" i="4"/>
  <c r="F12" i="6" s="1"/>
  <c r="K94" i="4"/>
  <c r="K19" i="4"/>
  <c r="K93" i="4" s="1"/>
  <c r="D30" i="4"/>
  <c r="G28" i="4"/>
  <c r="G29" i="4"/>
  <c r="G30" i="4"/>
  <c r="G27" i="4"/>
  <c r="G14" i="4"/>
  <c r="G15" i="4"/>
  <c r="G16" i="4"/>
  <c r="G17" i="4"/>
  <c r="G18" i="4"/>
  <c r="G19" i="4"/>
  <c r="G20" i="4"/>
  <c r="G13" i="4"/>
  <c r="S3" i="4"/>
  <c r="M3" i="4"/>
  <c r="O3" i="4"/>
  <c r="D28" i="4"/>
  <c r="D29" i="4"/>
  <c r="D27" i="4"/>
  <c r="E38" i="4" s="1"/>
  <c r="D14" i="4"/>
  <c r="D15" i="4"/>
  <c r="D16" i="4"/>
  <c r="D17" i="4"/>
  <c r="D18" i="4"/>
  <c r="D19" i="4"/>
  <c r="D20" i="4"/>
  <c r="D13" i="4"/>
  <c r="AG3" i="4"/>
  <c r="AE3" i="4"/>
  <c r="AC3" i="4"/>
  <c r="AA3" i="4"/>
  <c r="Y3" i="4"/>
  <c r="W3" i="4"/>
  <c r="U3" i="4"/>
  <c r="Q3" i="4"/>
  <c r="K3" i="4"/>
  <c r="E28" i="4"/>
  <c r="E30" i="4"/>
  <c r="E27" i="4"/>
  <c r="E13" i="4"/>
  <c r="E14" i="4"/>
  <c r="E15" i="4"/>
  <c r="E16" i="4"/>
  <c r="E17" i="4"/>
  <c r="E18" i="4"/>
  <c r="E19" i="4"/>
  <c r="E20" i="4"/>
  <c r="I12" i="6" l="1"/>
  <c r="G63" i="25" s="1"/>
  <c r="AD39" i="4"/>
  <c r="Y21" i="6" s="1"/>
  <c r="G68" i="35" s="1"/>
  <c r="X10" i="6"/>
  <c r="H29" i="6"/>
  <c r="F71" i="25" s="1"/>
  <c r="L11" i="6"/>
  <c r="F62" i="28" s="1"/>
  <c r="I22" i="6"/>
  <c r="G68" i="25" s="1"/>
  <c r="H20" i="6"/>
  <c r="F66" i="25" s="1"/>
  <c r="H22" i="6"/>
  <c r="F68" i="25" s="1"/>
  <c r="I21" i="6"/>
  <c r="G67" i="25" s="1"/>
  <c r="I31" i="6"/>
  <c r="G73" i="25" s="1"/>
  <c r="H31" i="6"/>
  <c r="F73" i="25" s="1"/>
  <c r="M10" i="6"/>
  <c r="G61" i="28" s="1"/>
  <c r="N10" i="6"/>
  <c r="F63" i="30" s="1"/>
  <c r="H21" i="6"/>
  <c r="F67" i="25" s="1"/>
  <c r="I30" i="6"/>
  <c r="G72" i="25" s="1"/>
  <c r="AA11" i="6"/>
  <c r="G66" i="36" s="1"/>
  <c r="H11" i="6"/>
  <c r="F62" i="25" s="1"/>
  <c r="I11" i="6"/>
  <c r="H30" i="6"/>
  <c r="F72" i="25" s="1"/>
  <c r="G63" i="27"/>
  <c r="G67" i="27"/>
  <c r="G68" i="27"/>
  <c r="F67" i="19"/>
  <c r="F72" i="19"/>
  <c r="F74" i="19"/>
  <c r="F73" i="19"/>
  <c r="F80" i="36"/>
  <c r="F75" i="36"/>
  <c r="F47" i="6"/>
  <c r="F82" i="19"/>
  <c r="F57" i="6"/>
  <c r="F87" i="19"/>
  <c r="F82" i="36"/>
  <c r="F77" i="36"/>
  <c r="F38" i="6"/>
  <c r="F77" i="19"/>
  <c r="F76" i="36"/>
  <c r="F81" i="36"/>
  <c r="F58" i="6"/>
  <c r="F88" i="19"/>
  <c r="F64" i="19"/>
  <c r="F39" i="6"/>
  <c r="F78" i="19"/>
  <c r="G64" i="19"/>
  <c r="G81" i="36"/>
  <c r="G76" i="36"/>
  <c r="G47" i="6"/>
  <c r="G82" i="19"/>
  <c r="G68" i="19"/>
  <c r="G67" i="19"/>
  <c r="G58" i="6"/>
  <c r="G88" i="19"/>
  <c r="G69" i="19"/>
  <c r="G74" i="19"/>
  <c r="G38" i="6"/>
  <c r="G77" i="19"/>
  <c r="G48" i="6"/>
  <c r="G83" i="19"/>
  <c r="G59" i="6"/>
  <c r="G89" i="19"/>
  <c r="G73" i="19"/>
  <c r="G62" i="19"/>
  <c r="G77" i="36"/>
  <c r="G82" i="36"/>
  <c r="G39" i="6"/>
  <c r="G78" i="19"/>
  <c r="G72" i="19"/>
  <c r="G63" i="19"/>
  <c r="K39" i="4"/>
  <c r="F21" i="6" s="1"/>
  <c r="K40" i="4"/>
  <c r="F22" i="6" s="1"/>
  <c r="L93" i="4"/>
  <c r="G40" i="6"/>
  <c r="G49" i="6"/>
  <c r="F40" i="6"/>
  <c r="E2" i="30"/>
  <c r="AS6" i="12"/>
  <c r="F49" i="6"/>
  <c r="U26" i="4"/>
  <c r="P12" i="6" s="1"/>
  <c r="F64" i="31" s="1"/>
  <c r="AC25" i="4"/>
  <c r="Y25" i="4"/>
  <c r="Q24" i="4"/>
  <c r="O24" i="4"/>
  <c r="U25" i="4"/>
  <c r="AC26" i="4"/>
  <c r="X12" i="6" s="1"/>
  <c r="F64" i="35" s="1"/>
  <c r="M26" i="4"/>
  <c r="W25" i="4"/>
  <c r="O26" i="4"/>
  <c r="J12" i="6" s="1"/>
  <c r="F63" i="27" s="1"/>
  <c r="Y24" i="4"/>
  <c r="U24" i="4"/>
  <c r="AG25" i="4"/>
  <c r="AB11" i="6" s="1"/>
  <c r="AA25" i="4"/>
  <c r="AA24" i="4"/>
  <c r="AG93" i="4"/>
  <c r="AB57" i="6" s="1"/>
  <c r="S25" i="4"/>
  <c r="Q26" i="4"/>
  <c r="L12" i="6" s="1"/>
  <c r="F63" i="28" s="1"/>
  <c r="AE25" i="4"/>
  <c r="K25" i="4"/>
  <c r="F11" i="6" s="1"/>
  <c r="K95" i="4"/>
  <c r="AH39" i="4"/>
  <c r="AC21" i="6" s="1"/>
  <c r="AF39" i="4"/>
  <c r="AA21" i="6" s="1"/>
  <c r="G71" i="36" s="1"/>
  <c r="F65" i="36"/>
  <c r="S95" i="4"/>
  <c r="N59" i="6" s="1"/>
  <c r="F90" i="30" s="1"/>
  <c r="AE93" i="4"/>
  <c r="Z57" i="6" s="1"/>
  <c r="F90" i="36" s="1"/>
  <c r="W24" i="4"/>
  <c r="R10" i="6" s="1"/>
  <c r="T39" i="4"/>
  <c r="O21" i="6" s="1"/>
  <c r="G69" i="30" s="1"/>
  <c r="AG95" i="4"/>
  <c r="AB59" i="6" s="1"/>
  <c r="AC93" i="4"/>
  <c r="X57" i="6" s="1"/>
  <c r="F87" i="35" s="1"/>
  <c r="M93" i="4"/>
  <c r="H57" i="6" s="1"/>
  <c r="F86" i="25" s="1"/>
  <c r="O25" i="4"/>
  <c r="AE95" i="4"/>
  <c r="Z59" i="6" s="1"/>
  <c r="F92" i="36" s="1"/>
  <c r="W26" i="4"/>
  <c r="R12" i="6" s="1"/>
  <c r="F64" i="32" s="1"/>
  <c r="AA95" i="4"/>
  <c r="V59" i="6" s="1"/>
  <c r="F88" i="34" s="1"/>
  <c r="Q94" i="4"/>
  <c r="L58" i="6" s="1"/>
  <c r="F87" i="28" s="1"/>
  <c r="K24" i="4"/>
  <c r="F10" i="6" s="1"/>
  <c r="F62" i="35"/>
  <c r="Y95" i="4"/>
  <c r="T59" i="6" s="1"/>
  <c r="F88" i="33" s="1"/>
  <c r="M94" i="4"/>
  <c r="H58" i="6" s="1"/>
  <c r="F87" i="25" s="1"/>
  <c r="S93" i="4"/>
  <c r="N57" i="6" s="1"/>
  <c r="F88" i="30" s="1"/>
  <c r="O16" i="4"/>
  <c r="P25" i="4" s="1"/>
  <c r="AC73" i="4"/>
  <c r="AD82" i="4" s="1"/>
  <c r="Y49" i="6" s="1"/>
  <c r="G84" i="35" s="1"/>
  <c r="AC86" i="4"/>
  <c r="AD95" i="4" s="1"/>
  <c r="Y59" i="6" s="1"/>
  <c r="G89" i="35" s="1"/>
  <c r="E42" i="4"/>
  <c r="E41" i="4"/>
  <c r="E39" i="4"/>
  <c r="AC17" i="4" l="1"/>
  <c r="AD26" i="4" s="1"/>
  <c r="Y12" i="6" s="1"/>
  <c r="G64" i="35" s="1"/>
  <c r="M15" i="4"/>
  <c r="N24" i="4" s="1"/>
  <c r="I10" i="6" s="1"/>
  <c r="J10" i="6"/>
  <c r="F61" i="27" s="1"/>
  <c r="V10" i="6"/>
  <c r="F61" i="34" s="1"/>
  <c r="K11" i="6"/>
  <c r="Z11" i="6"/>
  <c r="F66" i="36" s="1"/>
  <c r="Z39" i="4"/>
  <c r="U21" i="6" s="1"/>
  <c r="G67" i="33" s="1"/>
  <c r="T10" i="6"/>
  <c r="F61" i="33" s="1"/>
  <c r="T11" i="6"/>
  <c r="F62" i="33" s="1"/>
  <c r="G62" i="25"/>
  <c r="AC59" i="4"/>
  <c r="AD68" i="4" s="1"/>
  <c r="Y40" i="6" s="1"/>
  <c r="G79" i="35" s="1"/>
  <c r="AC45" i="4"/>
  <c r="AD54" i="4" s="1"/>
  <c r="Y31" i="6" s="1"/>
  <c r="G74" i="35" s="1"/>
  <c r="V39" i="4"/>
  <c r="Q21" i="6" s="1"/>
  <c r="G68" i="31" s="1"/>
  <c r="P10" i="6"/>
  <c r="F62" i="31" s="1"/>
  <c r="AD40" i="4"/>
  <c r="Y22" i="6" s="1"/>
  <c r="G69" i="35" s="1"/>
  <c r="X11" i="6"/>
  <c r="F63" i="35" s="1"/>
  <c r="V40" i="4"/>
  <c r="Q22" i="6" s="1"/>
  <c r="G69" i="31" s="1"/>
  <c r="P11" i="6"/>
  <c r="L10" i="6"/>
  <c r="F61" i="28" s="1"/>
  <c r="O22" i="6"/>
  <c r="G70" i="30" s="1"/>
  <c r="N11" i="6"/>
  <c r="F64" i="30" s="1"/>
  <c r="R11" i="6"/>
  <c r="F63" i="32" s="1"/>
  <c r="AB40" i="4"/>
  <c r="W22" i="6" s="1"/>
  <c r="G68" i="34" s="1"/>
  <c r="V11" i="6"/>
  <c r="J11" i="6"/>
  <c r="F62" i="27" s="1"/>
  <c r="H12" i="6"/>
  <c r="F63" i="25" s="1"/>
  <c r="F69" i="19"/>
  <c r="F68" i="19"/>
  <c r="F62" i="19"/>
  <c r="F59" i="6"/>
  <c r="F89" i="19"/>
  <c r="F63" i="19"/>
  <c r="O15" i="4"/>
  <c r="P24" i="4" s="1"/>
  <c r="G57" i="6"/>
  <c r="G87" i="19"/>
  <c r="O71" i="4"/>
  <c r="P80" i="4" s="1"/>
  <c r="K47" i="6" s="1"/>
  <c r="G81" i="27" s="1"/>
  <c r="O29" i="4"/>
  <c r="P38" i="4" s="1"/>
  <c r="K20" i="6" s="1"/>
  <c r="O57" i="4"/>
  <c r="P66" i="4" s="1"/>
  <c r="K38" i="6" s="1"/>
  <c r="G76" i="27" s="1"/>
  <c r="O43" i="4"/>
  <c r="P52" i="4" s="1"/>
  <c r="K29" i="6" s="1"/>
  <c r="G71" i="27" s="1"/>
  <c r="O84" i="4"/>
  <c r="P93" i="4" s="1"/>
  <c r="K57" i="6" s="1"/>
  <c r="G86" i="27" s="1"/>
  <c r="M57" i="4"/>
  <c r="N66" i="4" s="1"/>
  <c r="I38" i="6" s="1"/>
  <c r="G76" i="25" s="1"/>
  <c r="M43" i="4"/>
  <c r="N52" i="4" s="1"/>
  <c r="N38" i="4"/>
  <c r="M84" i="4"/>
  <c r="N93" i="4" s="1"/>
  <c r="I57" i="6" s="1"/>
  <c r="G86" i="25" s="1"/>
  <c r="M71" i="4"/>
  <c r="N80" i="4" s="1"/>
  <c r="I47" i="6" s="1"/>
  <c r="G81" i="25" s="1"/>
  <c r="E2" i="31"/>
  <c r="BA6" i="12"/>
  <c r="AH40" i="4"/>
  <c r="AC22" i="6" s="1"/>
  <c r="F63" i="31"/>
  <c r="Z40" i="4"/>
  <c r="U22" i="6" s="1"/>
  <c r="G68" i="33" s="1"/>
  <c r="X40" i="4"/>
  <c r="S22" i="6" s="1"/>
  <c r="G69" i="32" s="1"/>
  <c r="F62" i="34"/>
  <c r="AB39" i="4"/>
  <c r="W21" i="6" s="1"/>
  <c r="G67" i="34" s="1"/>
  <c r="AF40" i="4"/>
  <c r="AA22" i="6" s="1"/>
  <c r="G72" i="36" s="1"/>
  <c r="X39" i="4"/>
  <c r="S21" i="6" s="1"/>
  <c r="G68" i="32" s="1"/>
  <c r="F62" i="32"/>
  <c r="Y84" i="4"/>
  <c r="Z93" i="4" s="1"/>
  <c r="U57" i="6" s="1"/>
  <c r="G86" i="33" s="1"/>
  <c r="W85" i="4"/>
  <c r="X94" i="4" s="1"/>
  <c r="S58" i="6" s="1"/>
  <c r="G88" i="32" s="1"/>
  <c r="Q85" i="4"/>
  <c r="R94" i="4" s="1"/>
  <c r="M58" i="6" s="1"/>
  <c r="G87" i="28" s="1"/>
  <c r="AA84" i="4"/>
  <c r="AB93" i="4" s="1"/>
  <c r="W57" i="6" s="1"/>
  <c r="G86" i="34" s="1"/>
  <c r="W86" i="4"/>
  <c r="X95" i="4" s="1"/>
  <c r="S59" i="6" s="1"/>
  <c r="G89" i="32" s="1"/>
  <c r="AC84" i="4"/>
  <c r="AD93" i="4" s="1"/>
  <c r="Y57" i="6" s="1"/>
  <c r="G87" i="35" s="1"/>
  <c r="Y86" i="4"/>
  <c r="Z95" i="4" s="1"/>
  <c r="U59" i="6" s="1"/>
  <c r="G88" i="33" s="1"/>
  <c r="U84" i="4"/>
  <c r="V93" i="4" s="1"/>
  <c r="Q57" i="6" s="1"/>
  <c r="G87" i="31" s="1"/>
  <c r="Y85" i="4"/>
  <c r="Z94" i="4" s="1"/>
  <c r="U58" i="6" s="1"/>
  <c r="G87" i="33" s="1"/>
  <c r="AE84" i="4"/>
  <c r="AF93" i="4" s="1"/>
  <c r="AA57" i="6" s="1"/>
  <c r="G90" i="36" s="1"/>
  <c r="AA86" i="4"/>
  <c r="AB95" i="4" s="1"/>
  <c r="W59" i="6" s="1"/>
  <c r="G88" i="34" s="1"/>
  <c r="U85" i="4"/>
  <c r="V94" i="4" s="1"/>
  <c r="Q58" i="6" s="1"/>
  <c r="G88" i="31" s="1"/>
  <c r="U86" i="4"/>
  <c r="V95" i="4" s="1"/>
  <c r="Q59" i="6" s="1"/>
  <c r="G89" i="31" s="1"/>
  <c r="S86" i="4"/>
  <c r="T95" i="4" s="1"/>
  <c r="O59" i="6" s="1"/>
  <c r="G90" i="30" s="1"/>
  <c r="AA85" i="4"/>
  <c r="AB94" i="4" s="1"/>
  <c r="W58" i="6" s="1"/>
  <c r="G87" i="34" s="1"/>
  <c r="S84" i="4"/>
  <c r="T93" i="4" s="1"/>
  <c r="O57" i="6" s="1"/>
  <c r="G88" i="30" s="1"/>
  <c r="W84" i="4"/>
  <c r="X93" i="4" s="1"/>
  <c r="S57" i="6" s="1"/>
  <c r="G87" i="32" s="1"/>
  <c r="S85" i="4"/>
  <c r="T94" i="4" s="1"/>
  <c r="O58" i="6" s="1"/>
  <c r="G89" i="30" s="1"/>
  <c r="AA71" i="4"/>
  <c r="AB80" i="4" s="1"/>
  <c r="W47" i="6" s="1"/>
  <c r="G81" i="34" s="1"/>
  <c r="Y73" i="4"/>
  <c r="Z82" i="4" s="1"/>
  <c r="U49" i="6" s="1"/>
  <c r="G83" i="33" s="1"/>
  <c r="AC71" i="4"/>
  <c r="AD80" i="4" s="1"/>
  <c r="Y47" i="6" s="1"/>
  <c r="G82" i="35" s="1"/>
  <c r="AE71" i="4"/>
  <c r="AF80" i="4" s="1"/>
  <c r="AA47" i="6" s="1"/>
  <c r="S71" i="4"/>
  <c r="T80" i="4" s="1"/>
  <c r="O47" i="6" s="1"/>
  <c r="G83" i="30" s="1"/>
  <c r="U72" i="4"/>
  <c r="V81" i="4" s="1"/>
  <c r="Q48" i="6" s="1"/>
  <c r="G83" i="31" s="1"/>
  <c r="U71" i="4"/>
  <c r="V80" i="4" s="1"/>
  <c r="Q47" i="6" s="1"/>
  <c r="G82" i="31" s="1"/>
  <c r="S73" i="4"/>
  <c r="T82" i="4" s="1"/>
  <c r="O49" i="6" s="1"/>
  <c r="G85" i="30" s="1"/>
  <c r="U73" i="4"/>
  <c r="V82" i="4" s="1"/>
  <c r="Q49" i="6" s="1"/>
  <c r="G84" i="31" s="1"/>
  <c r="S72" i="4"/>
  <c r="T81" i="4" s="1"/>
  <c r="O48" i="6" s="1"/>
  <c r="G84" i="30" s="1"/>
  <c r="W73" i="4"/>
  <c r="X82" i="4" s="1"/>
  <c r="S49" i="6" s="1"/>
  <c r="G84" i="32" s="1"/>
  <c r="W72" i="4"/>
  <c r="X81" i="4" s="1"/>
  <c r="S48" i="6" s="1"/>
  <c r="G83" i="32" s="1"/>
  <c r="W71" i="4"/>
  <c r="X80" i="4" s="1"/>
  <c r="S47" i="6" s="1"/>
  <c r="G82" i="32" s="1"/>
  <c r="Y72" i="4"/>
  <c r="Z81" i="4" s="1"/>
  <c r="U48" i="6" s="1"/>
  <c r="G82" i="33" s="1"/>
  <c r="AA73" i="4"/>
  <c r="AB82" i="4" s="1"/>
  <c r="W49" i="6" s="1"/>
  <c r="G83" i="34" s="1"/>
  <c r="Y71" i="4"/>
  <c r="Z80" i="4" s="1"/>
  <c r="U47" i="6" s="1"/>
  <c r="G81" i="33" s="1"/>
  <c r="AA72" i="4"/>
  <c r="AB81" i="4" s="1"/>
  <c r="W48" i="6" s="1"/>
  <c r="G82" i="34" s="1"/>
  <c r="Q72" i="4"/>
  <c r="R81" i="4" s="1"/>
  <c r="M48" i="6" s="1"/>
  <c r="G82" i="28" s="1"/>
  <c r="W57" i="4"/>
  <c r="X66" i="4" s="1"/>
  <c r="S38" i="6" s="1"/>
  <c r="G77" i="32" s="1"/>
  <c r="AA58" i="4"/>
  <c r="AB67" i="4" s="1"/>
  <c r="W39" i="6" s="1"/>
  <c r="G77" i="34" s="1"/>
  <c r="Q58" i="4"/>
  <c r="R67" i="4" s="1"/>
  <c r="M39" i="6" s="1"/>
  <c r="G77" i="28" s="1"/>
  <c r="Y57" i="4"/>
  <c r="Z66" i="4" s="1"/>
  <c r="U38" i="6" s="1"/>
  <c r="G76" i="33" s="1"/>
  <c r="S59" i="4"/>
  <c r="T68" i="4" s="1"/>
  <c r="O40" i="6" s="1"/>
  <c r="G80" i="30" s="1"/>
  <c r="AA57" i="4"/>
  <c r="AB66" i="4" s="1"/>
  <c r="W38" i="6" s="1"/>
  <c r="G76" i="34" s="1"/>
  <c r="U57" i="4"/>
  <c r="V66" i="4" s="1"/>
  <c r="Q38" i="6" s="1"/>
  <c r="G77" i="31" s="1"/>
  <c r="W59" i="4"/>
  <c r="X68" i="4" s="1"/>
  <c r="S40" i="6" s="1"/>
  <c r="G79" i="32" s="1"/>
  <c r="Y59" i="4"/>
  <c r="Z68" i="4" s="1"/>
  <c r="U40" i="6" s="1"/>
  <c r="G78" i="33" s="1"/>
  <c r="AC57" i="4"/>
  <c r="AD66" i="4" s="1"/>
  <c r="Y38" i="6" s="1"/>
  <c r="G77" i="35" s="1"/>
  <c r="U58" i="4"/>
  <c r="V67" i="4" s="1"/>
  <c r="Q39" i="6" s="1"/>
  <c r="G78" i="31" s="1"/>
  <c r="AE57" i="4"/>
  <c r="AF66" i="4" s="1"/>
  <c r="AA38" i="6" s="1"/>
  <c r="G85" i="36" s="1"/>
  <c r="U59" i="4"/>
  <c r="V68" i="4" s="1"/>
  <c r="Q40" i="6" s="1"/>
  <c r="G79" i="31" s="1"/>
  <c r="W58" i="4"/>
  <c r="X67" i="4" s="1"/>
  <c r="S39" i="6" s="1"/>
  <c r="G78" i="32" s="1"/>
  <c r="AA59" i="4"/>
  <c r="AB68" i="4" s="1"/>
  <c r="W40" i="6" s="1"/>
  <c r="G78" i="34" s="1"/>
  <c r="S58" i="4"/>
  <c r="T67" i="4" s="1"/>
  <c r="O39" i="6" s="1"/>
  <c r="G79" i="30" s="1"/>
  <c r="Y58" i="4"/>
  <c r="Z67" i="4" s="1"/>
  <c r="U39" i="6" s="1"/>
  <c r="G77" i="33" s="1"/>
  <c r="S57" i="4"/>
  <c r="T66" i="4" s="1"/>
  <c r="O38" i="6" s="1"/>
  <c r="G78" i="30" s="1"/>
  <c r="W43" i="4"/>
  <c r="X52" i="4" s="1"/>
  <c r="S29" i="6" s="1"/>
  <c r="G72" i="32" s="1"/>
  <c r="AA45" i="4"/>
  <c r="AB54" i="4" s="1"/>
  <c r="W31" i="6" s="1"/>
  <c r="G73" i="34" s="1"/>
  <c r="AC15" i="4"/>
  <c r="U17" i="4"/>
  <c r="Y16" i="4"/>
  <c r="AA17" i="4"/>
  <c r="U16" i="4"/>
  <c r="W17" i="4"/>
  <c r="S17" i="4"/>
  <c r="U15" i="4"/>
  <c r="W16" i="4"/>
  <c r="Y17" i="4"/>
  <c r="W15" i="4"/>
  <c r="Y15" i="4"/>
  <c r="AA16" i="4"/>
  <c r="AA15" i="4"/>
  <c r="AE15" i="4"/>
  <c r="S15" i="4"/>
  <c r="AA43" i="4"/>
  <c r="AB52" i="4" s="1"/>
  <c r="W29" i="6" s="1"/>
  <c r="G71" i="34" s="1"/>
  <c r="S45" i="4"/>
  <c r="T54" i="4" s="1"/>
  <c r="O31" i="6" s="1"/>
  <c r="G75" i="30" s="1"/>
  <c r="U43" i="4"/>
  <c r="V52" i="4" s="1"/>
  <c r="Q29" i="6" s="1"/>
  <c r="G72" i="31" s="1"/>
  <c r="AE43" i="4"/>
  <c r="AF52" i="4" s="1"/>
  <c r="AA29" i="6" s="1"/>
  <c r="Y44" i="4"/>
  <c r="Z53" i="4" s="1"/>
  <c r="U30" i="6" s="1"/>
  <c r="G72" i="33" s="1"/>
  <c r="U44" i="4"/>
  <c r="V53" i="4" s="1"/>
  <c r="Q30" i="6" s="1"/>
  <c r="G73" i="31" s="1"/>
  <c r="S43" i="4"/>
  <c r="T52" i="4" s="1"/>
  <c r="O29" i="6" s="1"/>
  <c r="G73" i="30" s="1"/>
  <c r="R39" i="4"/>
  <c r="M21" i="6" s="1"/>
  <c r="Q44" i="4"/>
  <c r="R53" i="4" s="1"/>
  <c r="M30" i="6" s="1"/>
  <c r="G72" i="28" s="1"/>
  <c r="W45" i="4"/>
  <c r="X54" i="4" s="1"/>
  <c r="S31" i="6" s="1"/>
  <c r="G74" i="32" s="1"/>
  <c r="S44" i="4"/>
  <c r="T53" i="4" s="1"/>
  <c r="O30" i="6" s="1"/>
  <c r="G74" i="30" s="1"/>
  <c r="Y45" i="4"/>
  <c r="Z54" i="4" s="1"/>
  <c r="U31" i="6" s="1"/>
  <c r="G73" i="33" s="1"/>
  <c r="U45" i="4"/>
  <c r="V54" i="4" s="1"/>
  <c r="Q31" i="6" s="1"/>
  <c r="G74" i="31" s="1"/>
  <c r="Y43" i="4"/>
  <c r="Z52" i="4" s="1"/>
  <c r="U29" i="6" s="1"/>
  <c r="G71" i="33" s="1"/>
  <c r="AA44" i="4"/>
  <c r="AB53" i="4" s="1"/>
  <c r="W30" i="6" s="1"/>
  <c r="G72" i="34" s="1"/>
  <c r="AC43" i="4"/>
  <c r="AD52" i="4" s="1"/>
  <c r="Y29" i="6" s="1"/>
  <c r="G72" i="35" s="1"/>
  <c r="W44" i="4"/>
  <c r="X53" i="4" s="1"/>
  <c r="S30" i="6" s="1"/>
  <c r="G73" i="32" s="1"/>
  <c r="AD25" i="4"/>
  <c r="I29" i="6" l="1"/>
  <c r="G71" i="25" s="1"/>
  <c r="Y11" i="6"/>
  <c r="G63" i="35" s="1"/>
  <c r="G62" i="27"/>
  <c r="G61" i="25"/>
  <c r="K10" i="6"/>
  <c r="G61" i="27" s="1"/>
  <c r="I20" i="6"/>
  <c r="G66" i="25" s="1"/>
  <c r="G67" i="28"/>
  <c r="F25" i="6"/>
  <c r="G66" i="27"/>
  <c r="F26" i="6"/>
  <c r="G80" i="36"/>
  <c r="G75" i="36"/>
  <c r="E2" i="32"/>
  <c r="BI6" i="12"/>
  <c r="F61" i="6"/>
  <c r="F51" i="6"/>
  <c r="F43" i="6"/>
  <c r="F42" i="6"/>
  <c r="F63" i="6"/>
  <c r="F52" i="6"/>
  <c r="F62" i="6"/>
  <c r="F53" i="6"/>
  <c r="F35" i="6"/>
  <c r="F34" i="6"/>
  <c r="F33" i="6"/>
  <c r="F44" i="6"/>
  <c r="AD24" i="4"/>
  <c r="Z24" i="4"/>
  <c r="V26" i="4"/>
  <c r="Q12" i="6" s="1"/>
  <c r="G64" i="31" s="1"/>
  <c r="V25" i="4"/>
  <c r="Z25" i="4"/>
  <c r="V24" i="4"/>
  <c r="Z26" i="4"/>
  <c r="U12" i="6" s="1"/>
  <c r="G63" i="33" s="1"/>
  <c r="T25" i="4"/>
  <c r="AB24" i="4"/>
  <c r="AB26" i="4"/>
  <c r="W12" i="6" s="1"/>
  <c r="G63" i="34" s="1"/>
  <c r="AF24" i="4"/>
  <c r="T24" i="4"/>
  <c r="X24" i="4"/>
  <c r="X25" i="4"/>
  <c r="AB25" i="4"/>
  <c r="X26" i="4"/>
  <c r="S12" i="6" s="1"/>
  <c r="G64" i="32" s="1"/>
  <c r="T26" i="4"/>
  <c r="O12" i="6" s="1"/>
  <c r="F24" i="6" l="1"/>
  <c r="S11" i="6"/>
  <c r="G63" i="32" s="1"/>
  <c r="S10" i="6"/>
  <c r="G62" i="32" s="1"/>
  <c r="AA10" i="6"/>
  <c r="G65" i="36" s="1"/>
  <c r="Q11" i="6"/>
  <c r="G63" i="31" s="1"/>
  <c r="O10" i="6"/>
  <c r="W10" i="6"/>
  <c r="G61" i="34" s="1"/>
  <c r="U10" i="6"/>
  <c r="G61" i="33" s="1"/>
  <c r="U11" i="6"/>
  <c r="G62" i="33" s="1"/>
  <c r="O11" i="6"/>
  <c r="G64" i="30" s="1"/>
  <c r="Y10" i="6"/>
  <c r="G62" i="35" s="1"/>
  <c r="Q10" i="6"/>
  <c r="G62" i="31" s="1"/>
  <c r="W11" i="6"/>
  <c r="G62" i="34" s="1"/>
  <c r="M11" i="6"/>
  <c r="G65" i="30"/>
  <c r="F16" i="6"/>
  <c r="E2" i="33"/>
  <c r="BQ6" i="12"/>
  <c r="F15" i="6" l="1"/>
  <c r="F14" i="6"/>
  <c r="G62" i="28"/>
  <c r="G63" i="30"/>
  <c r="E2" i="34"/>
  <c r="BY6" i="12"/>
  <c r="CG6" i="12" l="1"/>
  <c r="E2" i="35"/>
  <c r="CO6" i="12" l="1"/>
  <c r="E2" i="36"/>
  <c r="AU14" i="12"/>
  <c r="F10" i="12"/>
  <c r="F21" i="1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<sst xmlns="http://schemas.openxmlformats.org/spreadsheetml/2006/main" count="3251" uniqueCount="516">
  <si>
    <t>Day 2</t>
  </si>
  <si>
    <t>Dinner</t>
  </si>
  <si>
    <t>Day 3</t>
  </si>
  <si>
    <t>Day 4</t>
  </si>
  <si>
    <t>Day 5</t>
  </si>
  <si>
    <t>Day 6</t>
  </si>
  <si>
    <t>Day 7</t>
  </si>
  <si>
    <t>Day 8</t>
  </si>
  <si>
    <t>Day 9</t>
  </si>
  <si>
    <t>Lunch</t>
  </si>
  <si>
    <t>Chicken Fried Rice</t>
  </si>
  <si>
    <t>Breakfast</t>
  </si>
  <si>
    <t>Continental</t>
  </si>
  <si>
    <t>Toasted Chicken Paninis</t>
  </si>
  <si>
    <t>Potato Salad with Chirizo</t>
  </si>
  <si>
    <t>Day 10</t>
  </si>
  <si>
    <t>Day 11</t>
  </si>
  <si>
    <t>TI Pub Meal</t>
  </si>
  <si>
    <t>Spaghetti Bolognese</t>
  </si>
  <si>
    <t>Pizza at Punsand</t>
  </si>
  <si>
    <t>chickpea curry</t>
  </si>
  <si>
    <t>Steak &amp; mash</t>
  </si>
  <si>
    <t>Dinner at Lions Den</t>
  </si>
  <si>
    <t>Breakfast at ferntrees</t>
  </si>
  <si>
    <t>Pulled Pork Nachos</t>
  </si>
  <si>
    <t>Sheridan Dinner</t>
  </si>
  <si>
    <t>buy lunch at punsand</t>
  </si>
  <si>
    <t>N/A</t>
  </si>
  <si>
    <t>nil</t>
  </si>
  <si>
    <t>Day 1</t>
  </si>
  <si>
    <t>Day 12</t>
  </si>
  <si>
    <t>Date</t>
  </si>
  <si>
    <t>Day</t>
  </si>
  <si>
    <t>Accommodation</t>
  </si>
  <si>
    <t>Tour 1</t>
  </si>
  <si>
    <t>Dietary Requirements</t>
  </si>
  <si>
    <t>Guests</t>
  </si>
  <si>
    <t>Tour Type</t>
  </si>
  <si>
    <t>12 - DPCYT</t>
  </si>
  <si>
    <t>12 - DSCYT</t>
  </si>
  <si>
    <t>5 - DTT</t>
  </si>
  <si>
    <t>tour_type</t>
  </si>
  <si>
    <t>Total Guests</t>
  </si>
  <si>
    <t>Tour 2</t>
  </si>
  <si>
    <t>Tour 3</t>
  </si>
  <si>
    <t>Tour 4</t>
  </si>
  <si>
    <t>tour_number</t>
  </si>
  <si>
    <t>guest_lists</t>
  </si>
  <si>
    <t>Tables</t>
  </si>
  <si>
    <t>Guides</t>
  </si>
  <si>
    <t>Total Guests 12 - DPCYT</t>
  </si>
  <si>
    <t>Total Guests 5 - DTT</t>
  </si>
  <si>
    <t>Total Guides</t>
  </si>
  <si>
    <t>guide_lists</t>
  </si>
  <si>
    <t>dietary_requirements</t>
  </si>
  <si>
    <t>Breakfast (required)</t>
  </si>
  <si>
    <t>Lunch (required)</t>
  </si>
  <si>
    <t>Dinner (required)</t>
  </si>
  <si>
    <t>yes_no</t>
  </si>
  <si>
    <t>Yes</t>
  </si>
  <si>
    <t>No</t>
  </si>
  <si>
    <t>9 - DPCYT</t>
  </si>
  <si>
    <t>9 - DPSYT</t>
  </si>
  <si>
    <t>Notes*</t>
  </si>
  <si>
    <t>Dinner No. Rest</t>
  </si>
  <si>
    <t>Tour Start Date</t>
  </si>
  <si>
    <t>Breakfast No. Rest</t>
  </si>
  <si>
    <t>Lunch No. Rest</t>
  </si>
  <si>
    <t>Total Guides 12 - DPCYT</t>
  </si>
  <si>
    <t>Total Guides 5 - DTT</t>
  </si>
  <si>
    <t>guide_tour_type</t>
  </si>
  <si>
    <t>Total Breakfast</t>
  </si>
  <si>
    <t>Breakfast Menu</t>
  </si>
  <si>
    <t>Lunch Menu</t>
  </si>
  <si>
    <t>Dinner Menu</t>
  </si>
  <si>
    <t>Beef &amp; soba noodles</t>
  </si>
  <si>
    <t>Item</t>
  </si>
  <si>
    <t>Serves</t>
  </si>
  <si>
    <t>Camp 64</t>
  </si>
  <si>
    <t>Bacon, Eggs &amp; Sausages</t>
  </si>
  <si>
    <t>Chicken Wraps</t>
  </si>
  <si>
    <t>Vegetarian Wraps</t>
  </si>
  <si>
    <t>dinner_menu</t>
  </si>
  <si>
    <t>lunch_menu</t>
  </si>
  <si>
    <t>breakfast_menu</t>
  </si>
  <si>
    <t>breakfast_menu_gf</t>
  </si>
  <si>
    <t>lunch_menu_gf</t>
  </si>
  <si>
    <t>dinner_menu_gf</t>
  </si>
  <si>
    <t>lunch_menu_li</t>
  </si>
  <si>
    <t>breakfast_menu_li</t>
  </si>
  <si>
    <t>dinner_menu_li</t>
  </si>
  <si>
    <t>Beef Wraps</t>
  </si>
  <si>
    <t>Lunch on Order</t>
  </si>
  <si>
    <t>Food to be made no allergy</t>
  </si>
  <si>
    <t>celiac</t>
  </si>
  <si>
    <t>lactose intolerance</t>
  </si>
  <si>
    <t>gluten &amp; lactose intolerance</t>
  </si>
  <si>
    <t>Total Day Serves no allergy</t>
  </si>
  <si>
    <t>Total Guests + Guides 12 - DPCYT no allergy</t>
  </si>
  <si>
    <t>Total Guests + Guides 9 - DPCYT no allergy</t>
  </si>
  <si>
    <t>Total Guests + Guides 5 - DTT no allergy</t>
  </si>
  <si>
    <t>Total Guests + Guides 12 - DPCYT celiac</t>
  </si>
  <si>
    <t>Total Guests + Guides 9 - DPCYT celiac</t>
  </si>
  <si>
    <t>Total Guests + Guides 5 - DTT celiac</t>
  </si>
  <si>
    <t>no nuts</t>
  </si>
  <si>
    <t>Total Guests + Guides 12 - DPCYT lactose intolerance</t>
  </si>
  <si>
    <t>Total Guests + Guides 9 - DPCYT lactose intolerance</t>
  </si>
  <si>
    <t>Total Guests + Guides 5 - DTT lactose intolerance</t>
  </si>
  <si>
    <t>other</t>
  </si>
  <si>
    <t>Extra Notes</t>
  </si>
  <si>
    <t>guides_extra_notes</t>
  </si>
  <si>
    <t>Total Guests + Guides 12 - DPCYT no nuts</t>
  </si>
  <si>
    <t>Total Guests + Guides 9 - DPCYT no nuts</t>
  </si>
  <si>
    <t>Total Guests + Guides 5 - DTT no nuts</t>
  </si>
  <si>
    <t>Total Guests + Guides 12 - DPCYT gluten &amp; lactose intolerance</t>
  </si>
  <si>
    <t>Total Guests + Guides 9 - DPCYT gluten &amp; lactose intolerance</t>
  </si>
  <si>
    <t>Total Guests + Guides 5 - DTT gluten &amp; lactose intolerance</t>
  </si>
  <si>
    <t>number of serves no allergy</t>
  </si>
  <si>
    <t>number of serves celiac</t>
  </si>
  <si>
    <t>Food to be made celiac</t>
  </si>
  <si>
    <t>Total Day Serves celiac</t>
  </si>
  <si>
    <t>number of serves no nuts</t>
  </si>
  <si>
    <t>Food to be made no nuts</t>
  </si>
  <si>
    <t>Total Day Serves no nuts</t>
  </si>
  <si>
    <t>number of serves lactose intolerance</t>
  </si>
  <si>
    <t>Food to be made lactose intolerance</t>
  </si>
  <si>
    <t>Total Day Serves lactose intolerance</t>
  </si>
  <si>
    <t>Food to be made Gluten Free &amp; lactose intolerance</t>
  </si>
  <si>
    <t>Total Day Serves Gluten Free &amp; lactose intolerance</t>
  </si>
  <si>
    <t>number of serves Gluten free &amp; lactose intolerance</t>
  </si>
  <si>
    <t>breakfast_menu_nn</t>
  </si>
  <si>
    <t>lunch_menu_nn</t>
  </si>
  <si>
    <t>dinner_menu_nn</t>
  </si>
  <si>
    <t>number of serves other</t>
  </si>
  <si>
    <t>Food to be made other</t>
  </si>
  <si>
    <t>Total Day Serves other</t>
  </si>
  <si>
    <t>Total Guests + Guides 12 - DPCYT other</t>
  </si>
  <si>
    <t>Total Guests + Guides 9 - DPCYT other</t>
  </si>
  <si>
    <t>Total Guests + Guides 5 - DTT other</t>
  </si>
  <si>
    <t>Total Dinner</t>
  </si>
  <si>
    <t>Total Lunch</t>
  </si>
  <si>
    <t>Total other</t>
  </si>
  <si>
    <t>Total Gluten Free &amp; lactose intolerance</t>
  </si>
  <si>
    <t>Total no allergy</t>
  </si>
  <si>
    <t>Pick-up Lunch from Beef Wraps</t>
  </si>
  <si>
    <t>Breakfast *no allergy</t>
  </si>
  <si>
    <t>Dinner *no allergy</t>
  </si>
  <si>
    <t>Lunch *no allergy</t>
  </si>
  <si>
    <t>Ferntrees</t>
  </si>
  <si>
    <t>Wildwishes</t>
  </si>
  <si>
    <t>Punsand Bay</t>
  </si>
  <si>
    <t>Chillagoe Cabins</t>
  </si>
  <si>
    <t>Mena Creek Hotel</t>
  </si>
  <si>
    <t>Mungali</t>
  </si>
  <si>
    <t>Sheridan Breakfast</t>
  </si>
  <si>
    <t>Total Guests 12 - DSCYT</t>
  </si>
  <si>
    <t>Total Guests 9 - DSCYT</t>
  </si>
  <si>
    <t>Malia Schmidt</t>
  </si>
  <si>
    <t xml:space="preserve">Breakfast </t>
  </si>
  <si>
    <t xml:space="preserve">Lunch </t>
  </si>
  <si>
    <t xml:space="preserve">Dinner </t>
  </si>
  <si>
    <t>Bedding Configuration</t>
  </si>
  <si>
    <t>Paronella Park Admission 14pax + guides FOC (CONFIRMED) + 8.00pm night tour confirmed</t>
  </si>
  <si>
    <t xml:space="preserve">na </t>
  </si>
  <si>
    <t xml:space="preserve">Please supply all guests at P.P and Mena Ck Hotel continental Brekkie </t>
  </si>
  <si>
    <t>day_1_accommodation</t>
  </si>
  <si>
    <t>Accommodation #1</t>
  </si>
  <si>
    <t>Accommodation #2</t>
  </si>
  <si>
    <t>Accommodation #3</t>
  </si>
  <si>
    <t>Accommodation Entity</t>
  </si>
  <si>
    <t>Number of rooms on hold</t>
  </si>
  <si>
    <t>number_of_rooms_booked</t>
  </si>
  <si>
    <t>1 Mena Creek Rd, Mena Creek QLD 4871</t>
  </si>
  <si>
    <t>Accommodation #4</t>
  </si>
  <si>
    <t>Address</t>
  </si>
  <si>
    <t>Bedding Configuration Booked</t>
  </si>
  <si>
    <t>bedding_config_booked</t>
  </si>
  <si>
    <t>Day 1 Accommodation booked</t>
  </si>
  <si>
    <t>Contact Details</t>
  </si>
  <si>
    <t>Participant List</t>
  </si>
  <si>
    <t>Party 1</t>
  </si>
  <si>
    <t>Party 2</t>
  </si>
  <si>
    <t>Party 3</t>
  </si>
  <si>
    <t>Party 4</t>
  </si>
  <si>
    <t>Party 5</t>
  </si>
  <si>
    <t>Party 6</t>
  </si>
  <si>
    <t>Room Number</t>
  </si>
  <si>
    <t>party</t>
  </si>
  <si>
    <t>dietary_requirements2</t>
  </si>
  <si>
    <t>extra notes</t>
  </si>
  <si>
    <t>Participant Name</t>
  </si>
  <si>
    <t>single</t>
  </si>
  <si>
    <t>double</t>
  </si>
  <si>
    <t>bedding_configuration</t>
  </si>
  <si>
    <t xml:space="preserve">Total Accommodation </t>
  </si>
  <si>
    <t>Party</t>
  </si>
  <si>
    <t>Guide 1</t>
  </si>
  <si>
    <t>Guide 2</t>
  </si>
  <si>
    <t>Guide 3</t>
  </si>
  <si>
    <t>Guide Name</t>
  </si>
  <si>
    <t>Dietary Requirments</t>
  </si>
  <si>
    <t>Day 2 Accommodation booked</t>
  </si>
  <si>
    <t>day_2_accommodation</t>
  </si>
  <si>
    <t>day_1_address</t>
  </si>
  <si>
    <t>day_2_address</t>
  </si>
  <si>
    <t>Guests Accommodation</t>
  </si>
  <si>
    <t>Guide Accommodation</t>
  </si>
  <si>
    <t>Dinning Arrangements</t>
  </si>
  <si>
    <t>Accommodation Booked</t>
  </si>
  <si>
    <t>Food Arrangements</t>
  </si>
  <si>
    <t>Activity</t>
  </si>
  <si>
    <t>Chillagoe Cabins - 10pax incl. guides booked for dinner (CONFIRMED)</t>
  </si>
  <si>
    <t>Day 3 Accommodation booked</t>
  </si>
  <si>
    <t>day_3_accommodation</t>
  </si>
  <si>
    <t>day_3_address</t>
  </si>
  <si>
    <t>36 Camelot Close Cape Tribulation</t>
  </si>
  <si>
    <t>night walk booked for 7:00pm</t>
  </si>
  <si>
    <t>Day 4 Accommodation booked</t>
  </si>
  <si>
    <t>day_4_accommodation</t>
  </si>
  <si>
    <t>day_4_address</t>
  </si>
  <si>
    <t>Day 5 Accommodation booked</t>
  </si>
  <si>
    <t>day_5_accommodation</t>
  </si>
  <si>
    <t>day_5_address</t>
  </si>
  <si>
    <t>Day 6 Accommodation booked</t>
  </si>
  <si>
    <t>day_6_accommodation</t>
  </si>
  <si>
    <t>day_6_address</t>
  </si>
  <si>
    <t>Day 7 Accommodation booked</t>
  </si>
  <si>
    <t>day_7_accommodation</t>
  </si>
  <si>
    <t>day_7_address</t>
  </si>
  <si>
    <t>day_8_accommodation</t>
  </si>
  <si>
    <t>day_8_address</t>
  </si>
  <si>
    <t>Day 8 Accommodation booked</t>
  </si>
  <si>
    <t>Day 9 Accommodation booked</t>
  </si>
  <si>
    <t>day_9_accommodation</t>
  </si>
  <si>
    <t>day_9_address</t>
  </si>
  <si>
    <t>Day 10 Accommodation booked</t>
  </si>
  <si>
    <t>day_10_accommodation</t>
  </si>
  <si>
    <t>day_10_address</t>
  </si>
  <si>
    <t>Day 11 Accommodation booked</t>
  </si>
  <si>
    <t>day_11_accommodation</t>
  </si>
  <si>
    <t>day_11_address</t>
  </si>
  <si>
    <t>PREPARE REPORT</t>
  </si>
  <si>
    <t>PRINT REPORT</t>
  </si>
  <si>
    <t>MORE PRINT REPORT</t>
  </si>
  <si>
    <t>M</t>
  </si>
  <si>
    <t>u</t>
  </si>
  <si>
    <t>q</t>
  </si>
  <si>
    <t>DATA</t>
  </si>
  <si>
    <t>12 DAY RUNSHEET</t>
  </si>
  <si>
    <t>OVERALL DAY RUNSHEET</t>
  </si>
  <si>
    <t>FOOD ORDER</t>
  </si>
  <si>
    <t>PARTICIPANT LIST</t>
  </si>
  <si>
    <t>GUIDE LIST</t>
  </si>
  <si>
    <t>DATA TABLES TO ENTER</t>
  </si>
  <si>
    <t>MENU NO ALLERGY</t>
  </si>
  <si>
    <t xml:space="preserve">MENU CELIAC &amp; GLUTEN FREE </t>
  </si>
  <si>
    <t>MENU LACTOSE INTOLERANCE</t>
  </si>
  <si>
    <t>MENU NO NUTS</t>
  </si>
  <si>
    <t>MENU BY DAY NO ALLERGY</t>
  </si>
  <si>
    <t>MENU BY DAY CELIAC &amp; GLUTEN FREE</t>
  </si>
  <si>
    <t>MENU BY DAY CELIAC &amp; GLUTEN FREE LACTOSE INTOLERANT</t>
  </si>
  <si>
    <t>MENU BY DAY NO NUTS</t>
  </si>
  <si>
    <t>ACCOMMODATION</t>
  </si>
  <si>
    <t>ACCOMMODATION RUNSHEET</t>
  </si>
  <si>
    <t>HOME</t>
  </si>
  <si>
    <t>RUNSHEET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</si>
  <si>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</si>
  <si>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</si>
  <si>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</si>
  <si>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</si>
  <si>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</si>
  <si>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</si>
  <si>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</si>
  <si>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</si>
  <si>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</si>
  <si>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</si>
  <si>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</si>
  <si>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</si>
  <si>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Milkwood Lodge</t>
  </si>
  <si>
    <t>Annan Rd, Cooktown QLD 4895</t>
  </si>
  <si>
    <t>Wolverton Station, Archer River QLD 4892</t>
  </si>
  <si>
    <t>GreenHoose</t>
  </si>
  <si>
    <t>161 Lockhart River Rd, Lockhart River QLD 4892</t>
  </si>
  <si>
    <t>Temple</t>
  </si>
  <si>
    <t>Aylen Hill Road Lockhart, QLD, 4892, Australia</t>
  </si>
  <si>
    <t>Bramwell Station</t>
  </si>
  <si>
    <t>Bramwell Jct, Shelburne QLD 4874</t>
  </si>
  <si>
    <t>Lot 11 Punsand Bay via Bamaga QLD 4876</t>
  </si>
  <si>
    <t>Benson</t>
  </si>
  <si>
    <t>50 Grafton St, Cairns City QLD 4870</t>
  </si>
  <si>
    <t>contact_details</t>
  </si>
  <si>
    <t>BUTTONS</t>
  </si>
  <si>
    <t>SHOW SHEET TABS</t>
  </si>
  <si>
    <t>MENU BY DAY  LACTOSE INTOLERANT</t>
  </si>
  <si>
    <t>MENU CELIAC &amp; LACTOSE INTOLERANCE</t>
  </si>
  <si>
    <t>breakfast_menu_cli</t>
  </si>
  <si>
    <t>lunch_menu_cli</t>
  </si>
  <si>
    <t>dinner_menu_cli</t>
  </si>
  <si>
    <t>(07) 4069 5007</t>
  </si>
  <si>
    <t xml:space="preserve">Battle Camp Road /Self Guided 1 hour walk Laura Rock Art @ Split Rock </t>
  </si>
  <si>
    <t>Pork Wraps on the Rd</t>
  </si>
  <si>
    <t>Cooking at Wildwishes</t>
  </si>
  <si>
    <t>(07) 4060 7067</t>
  </si>
  <si>
    <t xml:space="preserve">Claudie Waterfall/Chilli Beach/ Lockhart Art Centre / FNE guided night walk </t>
  </si>
  <si>
    <t>Chicken Paninis - toasted on the Rd</t>
  </si>
  <si>
    <t>Continental Breakfast at Wildwishes</t>
  </si>
  <si>
    <t>Must Cook Breakfast at Greenhoose</t>
  </si>
  <si>
    <t xml:space="preserve">Free Station Talk @ 6.30pm at Bramwell, followed by Live Entertainment </t>
  </si>
  <si>
    <t>must cook breakfast</t>
  </si>
  <si>
    <t>0427 966 222</t>
  </si>
  <si>
    <t>07 4060 3230</t>
  </si>
  <si>
    <t>(07) 4069 1722</t>
  </si>
  <si>
    <t xml:space="preserve">Start of Tele Track/Fruit Bat Falls/Tip of Australia if time permits </t>
  </si>
  <si>
    <t>cook breakfast</t>
  </si>
  <si>
    <t>cook lunch</t>
  </si>
  <si>
    <t>cook dinner</t>
  </si>
  <si>
    <t>Tip of Australia/Somerset/5 beaches / chopper flight from Cape York Camping ?upsell?</t>
  </si>
  <si>
    <t>Corrugation Bar - Famous woodfired Pizza  (no table reservations available)</t>
  </si>
  <si>
    <t>Cook Breakfast</t>
  </si>
  <si>
    <t>(07) 4046 0300</t>
  </si>
  <si>
    <t>Lunch at Punsand Bay</t>
  </si>
  <si>
    <t>Paronella Park Cabin</t>
  </si>
  <si>
    <t>(07) 4065 0000</t>
  </si>
  <si>
    <t>1671 Innisfail Japoon Rd, Mena Creek QLD 4871</t>
  </si>
  <si>
    <t>(07) 4065 3201</t>
  </si>
  <si>
    <t>7 Mena Creek Rd, Mena Creek QLD 4871</t>
  </si>
  <si>
    <t>The Old Church Mena Creek</t>
  </si>
  <si>
    <t>party_1 G1</t>
  </si>
  <si>
    <t>party_1 G2</t>
  </si>
  <si>
    <t>party_2 G1</t>
  </si>
  <si>
    <t>party_2 G2</t>
  </si>
  <si>
    <t>party_3 G1</t>
  </si>
  <si>
    <t>party_3 G2</t>
  </si>
  <si>
    <t>party_4 G1</t>
  </si>
  <si>
    <t>party_4 G2</t>
  </si>
  <si>
    <t>party_5 G1</t>
  </si>
  <si>
    <t>party_5 G2</t>
  </si>
  <si>
    <t>party_6 G1</t>
  </si>
  <si>
    <t>party_6 G2</t>
  </si>
  <si>
    <t>Itinerary Highlights</t>
  </si>
  <si>
    <t>Day 1 Itinerary Highlights</t>
  </si>
  <si>
    <t>Highlight 1</t>
  </si>
  <si>
    <t>Highlight 2</t>
  </si>
  <si>
    <t>Highlight 3</t>
  </si>
  <si>
    <t>Babinda Boulders</t>
  </si>
  <si>
    <t>Paronella Park</t>
  </si>
  <si>
    <t>Milla Milla Waterfall Circuit</t>
  </si>
  <si>
    <t>Day 2 Itinerary Highlights</t>
  </si>
  <si>
    <t>Day 3 Itinerary Highlights</t>
  </si>
  <si>
    <t>Alexandra Range</t>
  </si>
  <si>
    <t>Day 4 Itinerary Highlights</t>
  </si>
  <si>
    <t>Highlight 4</t>
  </si>
  <si>
    <t>Fig Tree</t>
  </si>
  <si>
    <t>Bloomfield Track</t>
  </si>
  <si>
    <t>Black mountain</t>
  </si>
  <si>
    <t>Grassy Hill Lookout point</t>
  </si>
  <si>
    <t>Day 5 Itinerary Highlights</t>
  </si>
  <si>
    <t>Old Laura Homestead</t>
  </si>
  <si>
    <t>Rinyirru (Lakefield) National Park</t>
  </si>
  <si>
    <t>Laura art site</t>
  </si>
  <si>
    <t>Quinkan &amp; Regional Cultural Centre</t>
  </si>
  <si>
    <t>Day 6 Itinerary Highlights</t>
  </si>
  <si>
    <t>Piccaninny Plains</t>
  </si>
  <si>
    <t>Day 7 Itinerary Highlights</t>
  </si>
  <si>
    <t>Iron Range National Park via the Old Telegraph Road</t>
  </si>
  <si>
    <t>Mount Tozer</t>
  </si>
  <si>
    <t>Day 8 Itinerary Highlights</t>
  </si>
  <si>
    <t>Moreton Telegraph Station</t>
  </si>
  <si>
    <t>Day 9 Itinerary Highlights</t>
  </si>
  <si>
    <t>Gunshot creek crossing</t>
  </si>
  <si>
    <t>Elliot Falls and Fruit Bat Falls</t>
  </si>
  <si>
    <t>Jardine River</t>
  </si>
  <si>
    <t>Day 10 Itinerary Highlights</t>
  </si>
  <si>
    <t>Tip of Cape York</t>
  </si>
  <si>
    <t>Somerset Beach</t>
  </si>
  <si>
    <t>Somerset Government Outpost</t>
  </si>
  <si>
    <t>Print Select "Ctrl"</t>
  </si>
  <si>
    <t>Day 11 Itinerary Highlights</t>
  </si>
  <si>
    <t>Mark Cromwell</t>
  </si>
  <si>
    <t>Mungalli Creek : 1:00pm table of 10</t>
  </si>
  <si>
    <t>1 x triple room at Mena Creek Hotel</t>
  </si>
  <si>
    <t>Supplier Information</t>
  </si>
  <si>
    <t>69-71 Queen St, Chillagoe QLD 4871</t>
  </si>
  <si>
    <t>Contact number</t>
  </si>
  <si>
    <t>(07) 4094 7206</t>
  </si>
  <si>
    <t>Cockatoo Hotel</t>
  </si>
  <si>
    <t>2 Tower St, Chillagoe QLD 4871</t>
  </si>
  <si>
    <t>(07) 4094 7168</t>
  </si>
  <si>
    <t>Mungumby Lodge</t>
  </si>
  <si>
    <t>Helenvale via, 388 Mungumby Rd, Rossville QLD 4895</t>
  </si>
  <si>
    <t>(07) 4060 3158</t>
  </si>
  <si>
    <t>Lions Den Hotel</t>
  </si>
  <si>
    <t xml:space="preserve"> 398 Shiptons Flat Rd, Rossville QLD 4895</t>
  </si>
  <si>
    <t>(07) 4060 3911</t>
  </si>
  <si>
    <t>Continental Breakfast at Chillagoe Cabins</t>
  </si>
  <si>
    <t>Cooked Dinner at Greenhoose</t>
  </si>
  <si>
    <t>Must Cook Dinner</t>
  </si>
  <si>
    <t>Must Cook Lunch</t>
  </si>
  <si>
    <t>Ferry</t>
  </si>
  <si>
    <t>Guide Booking</t>
  </si>
  <si>
    <t>Guests Booking</t>
  </si>
  <si>
    <t>Sesia Ferry</t>
  </si>
  <si>
    <t>Horn Island Ferry</t>
  </si>
  <si>
    <t>Flight</t>
  </si>
  <si>
    <t>Flight 1</t>
  </si>
  <si>
    <t>Flight 2 (if applicable)</t>
  </si>
  <si>
    <t>Flight Time</t>
  </si>
  <si>
    <t>Flight Dep</t>
  </si>
  <si>
    <t>Flight Reference</t>
  </si>
  <si>
    <t>Transport</t>
  </si>
  <si>
    <t>Transport Location</t>
  </si>
  <si>
    <t>Transport 1</t>
  </si>
  <si>
    <t>Transport 2</t>
  </si>
  <si>
    <t>Transport Reference</t>
  </si>
  <si>
    <t>Transport Time</t>
  </si>
  <si>
    <t xml:space="preserve">Peddells  Ferry + 1 x hour Guided hisotry tour of Thursday Island (CONFIRMED - 1009493)      </t>
  </si>
  <si>
    <t xml:space="preserve">McDonald ferry TIS - HID  (confirmed) </t>
  </si>
  <si>
    <t xml:space="preserve"> from CNS Airport to Hotels</t>
  </si>
  <si>
    <t>Guide Accomodation</t>
  </si>
  <si>
    <t>Nav Bar</t>
  </si>
  <si>
    <t>Home</t>
  </si>
  <si>
    <t>must cook lunch</t>
  </si>
  <si>
    <t>must cook dinner</t>
  </si>
  <si>
    <t xml:space="preserve"> </t>
  </si>
  <si>
    <t>Ctrl + q (Scroll to top)</t>
  </si>
  <si>
    <t>1 x Single Donga avaliable</t>
  </si>
  <si>
    <t>Peddells Sesia Ferry - TI to drop Luggage at Mcdonalds ferry for 10am transfer of Luggage TI tour 9:15 - 10:45am</t>
  </si>
  <si>
    <t>Lunch 11:30 - 1:00pm @top pub - guide to arrive at 11am tables no reservations availiable</t>
  </si>
  <si>
    <t>*need to show sheet tabs and go back &amp; forth to show sheets</t>
  </si>
  <si>
    <t>https://www.xelplus.com/list-box-to-print-multiple-sheets-excel-vba/</t>
  </si>
  <si>
    <t>Penelope Lister</t>
  </si>
  <si>
    <t>Gerald Lister</t>
  </si>
  <si>
    <t>Denis Lister</t>
  </si>
  <si>
    <t>Mark Morgan</t>
  </si>
  <si>
    <t>Nicola Morgan</t>
  </si>
  <si>
    <t>Joan Roberts</t>
  </si>
  <si>
    <t>Valerie Mead</t>
  </si>
  <si>
    <t>Ann Berriman</t>
  </si>
  <si>
    <t>Wanda Drost</t>
  </si>
  <si>
    <t>Total Guests + Guides 12 - DSCYT no allergy</t>
  </si>
  <si>
    <t>Total Guests + Guides 12 - DSCYT celiac</t>
  </si>
  <si>
    <t>Total Guests + Guides 12 - DSCYT no nuts</t>
  </si>
  <si>
    <t>Total Guides 12 - DSCYT</t>
  </si>
  <si>
    <t>Total Guides 9 - DSCYT</t>
  </si>
  <si>
    <t>Total Guests + Guides 9 - DSCYT no allergy</t>
  </si>
  <si>
    <t>Total Guests + Guides 9 - DSCYT celiac</t>
  </si>
  <si>
    <t>Total Guests + Guides 12 - DSCYT lactose intolerance</t>
  </si>
  <si>
    <t>Total Guests + Guides 9 - DSCYT lactose intolerance</t>
  </si>
  <si>
    <t>Total Guests + Guides 9 - DSCYT no nuts</t>
  </si>
  <si>
    <t>Total Guests + Guides 12 - DSCYT gluten &amp; lactose intolerance</t>
  </si>
  <si>
    <t>Total Guests + Guides 9 - DSCYT gluten &amp; lactose intolerance</t>
  </si>
  <si>
    <t>Total Guests + Guides 12 - DSCYT other</t>
  </si>
  <si>
    <t>Total Guests + Guides 9 - DSCYT other</t>
  </si>
  <si>
    <t>Gluten Intolerant/ Allergic to Shellfish</t>
  </si>
  <si>
    <t>Guests Name</t>
  </si>
  <si>
    <t>Mena Creek Flower House</t>
  </si>
  <si>
    <t>546 Utchee Creek Rd, Mena Creek QLD 4871</t>
  </si>
  <si>
    <t>(07) 4065 3409</t>
  </si>
  <si>
    <t>A None</t>
  </si>
  <si>
    <t>Chillagoe Ecolodge</t>
  </si>
  <si>
    <t>1 Hospital Ave, Chillagoe QLD 4871</t>
  </si>
  <si>
    <t> (07) 4094 7155</t>
  </si>
  <si>
    <t>River of Gold Motel</t>
  </si>
  <si>
    <t xml:space="preserve"> Hope St &amp; Walker Streets, Cooktown QLD 4895</t>
  </si>
  <si>
    <t>(07) 4069 5222</t>
  </si>
  <si>
    <t>Cairns Sheridan Hotel</t>
  </si>
  <si>
    <t>295 Sheridan St, Cairns City QLD 4870</t>
  </si>
  <si>
    <t>(07) 4255 9000</t>
  </si>
  <si>
    <t>Ian Neil</t>
  </si>
  <si>
    <t>Graheme Fergueson</t>
  </si>
  <si>
    <t>twin</t>
  </si>
  <si>
    <t>no twin av</t>
  </si>
  <si>
    <t>Orion</t>
  </si>
  <si>
    <t>Mena Creek Hotel/Pub 6:15pm CONFIRMED 2 tables (14 pax)</t>
  </si>
  <si>
    <t>Cockatoo Hotel for 3 x guides - queen bed and a king single bed (CONFIRMED)</t>
  </si>
  <si>
    <t xml:space="preserve">Camp 64 on the way in to Chillagoe </t>
  </si>
  <si>
    <t>rm 70</t>
  </si>
  <si>
    <t>Raewyn Brookie</t>
  </si>
  <si>
    <t>party_7 G1</t>
  </si>
  <si>
    <t>party_7 G2</t>
  </si>
  <si>
    <t>Party 7</t>
  </si>
  <si>
    <t>Cassowary Restaurant, other group, 12 pax - 6.30pm (CONFIRMED)</t>
  </si>
  <si>
    <t>Chillagoe Caves - Donna Cave -  10pax (Kim fear of small spaces ) (CONFIRMED) 9:00am</t>
  </si>
  <si>
    <t xml:space="preserve">River of Gold Motel 2 bedroom (4) (CONFIRMED) </t>
  </si>
  <si>
    <t>Wujal Wujal 11:00am - 10pax (texted)</t>
  </si>
  <si>
    <t>Breakfast at Ferntrees / 8:00am Booking</t>
  </si>
  <si>
    <t>Pick-up from Ferntrees</t>
  </si>
  <si>
    <t>River of Gold Motel 15 pax - 18:30pm (CONFIRMED)</t>
  </si>
  <si>
    <t>1 X Dam glamping (Wild Wishes) (CONFIRMED)</t>
  </si>
  <si>
    <t>1 x Station Glamping (Cattle Camp) Queen</t>
  </si>
  <si>
    <t>1x large queen bed donga (1) (CONFIRMED)</t>
  </si>
  <si>
    <t xml:space="preserve">1x single donga </t>
  </si>
  <si>
    <t xml:space="preserve">Milkwood - breakfast to be ordered / River of Gold - breakfast included </t>
  </si>
  <si>
    <t>King Single shared amens</t>
  </si>
  <si>
    <t xml:space="preserve">2x King Single Shared Amens </t>
  </si>
  <si>
    <t>1x Ensuite Room (1)</t>
  </si>
  <si>
    <t>1x Beach Ensuite Cabin w/ensuite (1)</t>
  </si>
  <si>
    <t>1x Beach Ensuite Cabin w/ensuit</t>
  </si>
  <si>
    <t xml:space="preserve">1x Beach Ensuite Cabin w/ensuite </t>
  </si>
  <si>
    <t>1 x safari tent</t>
  </si>
  <si>
    <t>1 x safari tent shared</t>
  </si>
  <si>
    <t>1x Beach Ensuite Cabin w/ensuite</t>
  </si>
  <si>
    <t xml:space="preserve">1 x safari tent </t>
  </si>
  <si>
    <t>1 x safari tent  shared</t>
  </si>
  <si>
    <t>1) Peddells  Ferry - 8:00am + 90 min tour of Thursday Island - 9:20am -11am FOC GUIDE (CONFIRMED 1016856)  / 2) McDonald ferry TIS-HID - 13:20pm (CONFIRMED) /                                                                                            3) QF Flights - 15:35 (CONFIRMED - 5QZE44 &amp; 6ZH56L &amp; 6AA68B ) / 4) Transfer from CNS Airport (TO BE BOOKED)</t>
  </si>
  <si>
    <t xml:space="preserve">$35pp dinner Sheridan </t>
  </si>
  <si>
    <t>Cooked Breakfast at Punsand Bay</t>
  </si>
  <si>
    <t xml:space="preserve"> Peddells  Ferry - 8:00am + 90 min tour of Thursday Island - 9:20am -11am FOC GUIDE (CONFIRMED 1016856)</t>
  </si>
  <si>
    <t xml:space="preserve">McDonald ferry TIS-HID - 13:20pm (CONFIRMED) </t>
  </si>
  <si>
    <t xml:space="preserve"> QF Flights - 15:35 (CONFIRMED - 5QZE44 &amp; 6ZH56L &amp; 6AA68B ) </t>
  </si>
  <si>
    <t>Breakfast at the Sheridan</t>
  </si>
  <si>
    <t>RESTAURANT RUNSHEET</t>
  </si>
  <si>
    <t>FOOD SERVES</t>
  </si>
  <si>
    <t>Total Guests 9 - DPSYT</t>
  </si>
  <si>
    <t>Total Guides 9 - DPSYT</t>
  </si>
  <si>
    <t>needs wheetbix for breakfast / low sugar meals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</si>
</sst>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F400]h:mm:ss\ AM/PM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 val="double"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6" tint="-0.499984740745262"/>
      <name val="Calibri"/>
      <family val="2"/>
      <scheme val="minor"/>
    </font>
    <font>
      <b/>
      <sz val="10"/>
      <color theme="6" tint="-0.499984740745262"/>
      <name val="Wingdings 3"/>
      <family val="1"/>
      <charset val="2"/>
    </font>
    <font>
      <b/>
      <sz val="9"/>
      <color theme="1"/>
      <name val="Calibri"/>
      <family val="2"/>
      <scheme val="minor"/>
    </font>
    <font>
      <b/>
      <sz val="9"/>
      <color theme="6" tint="-0.499984740745262"/>
      <name val="Wingdings 3"/>
      <family val="1"/>
      <charset val="2"/>
    </font>
    <font>
      <b/>
      <sz val="9"/>
      <color theme="6" tint="-0.499984740745262"/>
      <name val="Calibri"/>
      <family val="2"/>
      <scheme val="minor"/>
    </font>
    <font>
      <b/>
      <i/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rgb="FF242424"/>
      <name val="Segoe UI"/>
      <family val="2"/>
    </font>
  </fonts>
  <fills count="31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double">
        <color theme="6" tint="-0.499984740745262"/>
      </top>
      <bottom style="double">
        <color theme="6" tint="-0.499984740745262"/>
      </bottom>
      <diagonal/>
    </border>
    <border>
      <left/>
      <right/>
      <top style="double">
        <color theme="6" tint="-0.499984740745262"/>
      </top>
      <bottom/>
      <diagonal/>
    </border>
    <border>
      <left/>
      <right/>
      <top/>
      <bottom style="double">
        <color theme="6" tint="-0.499984740745262"/>
      </bottom>
      <diagonal/>
    </border>
    <border>
      <left/>
      <right/>
      <top style="thin">
        <color theme="6" tint="-0.499984740745262"/>
      </top>
      <bottom style="thin">
        <color theme="6" tint="-0.499984740745262"/>
      </bottom>
      <diagonal/>
    </border>
    <border>
      <left/>
      <right/>
      <top style="thin">
        <color theme="6" tint="-0.499984740745262"/>
      </top>
      <bottom/>
      <diagonal/>
    </border>
    <border>
      <left/>
      <right/>
      <top/>
      <bottom style="thin">
        <color theme="6" tint="-0.499984740745262"/>
      </bottom>
      <diagonal/>
    </border>
    <border>
      <left style="thick">
        <color theme="6" tint="-0.499984740745262"/>
      </left>
      <right style="thick">
        <color theme="6" tint="-0.499984740745262"/>
      </right>
      <top style="thick">
        <color theme="6" tint="-0.499984740745262"/>
      </top>
      <bottom style="thick">
        <color theme="6" tint="-0.499984740745262"/>
      </bottom>
      <diagonal/>
    </border>
    <border>
      <left style="thick">
        <color theme="6" tint="-0.499984740745262"/>
      </left>
      <right style="thick">
        <color theme="6" tint="-0.499984740745262"/>
      </right>
      <top style="thick">
        <color theme="6" tint="-0.499984740745262"/>
      </top>
      <bottom/>
      <diagonal/>
    </border>
    <border>
      <left style="thick">
        <color theme="6" tint="-0.499984740745262"/>
      </left>
      <right style="thick">
        <color theme="6" tint="-0.499984740745262"/>
      </right>
      <top/>
      <bottom style="thick">
        <color theme="6" tint="-0.499984740745262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483">
    <xf numFmtId="0" fontId="0" fillId="0" borderId="0" xfId="0"/>
    <xf numFmtId="0" fontId="1" fillId="0" borderId="0" xfId="0" applyFont="1"/>
    <xf numFmtId="0" fontId="0" fillId="0" borderId="1" xfId="0" applyBorder="1"/>
    <xf numFmtId="14" fontId="0" fillId="0" borderId="0" xfId="0" applyNumberFormat="1"/>
    <xf numFmtId="0" fontId="0" fillId="0" borderId="0" xfId="0" applyBorder="1"/>
    <xf numFmtId="0" fontId="0" fillId="0" borderId="2" xfId="0" applyBorder="1"/>
    <xf numFmtId="0" fontId="5" fillId="3" borderId="1" xfId="0" applyFont="1" applyFill="1" applyBorder="1" applyAlignment="1">
      <alignment horizontal="center" wrapText="1"/>
    </xf>
    <xf numFmtId="0" fontId="5" fillId="4" borderId="1" xfId="0" applyFont="1" applyFill="1" applyBorder="1" applyAlignment="1">
      <alignment horizontal="center" wrapText="1"/>
    </xf>
    <xf numFmtId="0" fontId="5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0" xfId="0" applyFill="1"/>
    <xf numFmtId="0" fontId="0" fillId="0" borderId="5" xfId="0" applyBorder="1"/>
    <xf numFmtId="0" fontId="0" fillId="6" borderId="1" xfId="0" applyFill="1" applyBorder="1"/>
    <xf numFmtId="0" fontId="0" fillId="0" borderId="6" xfId="0" applyBorder="1"/>
    <xf numFmtId="0" fontId="1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0" borderId="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6" xfId="0" applyFont="1" applyBorder="1"/>
    <xf numFmtId="0" fontId="1" fillId="0" borderId="1" xfId="0" applyFont="1" applyBorder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1" fillId="3" borderId="0" xfId="0" applyFont="1" applyFill="1" applyAlignment="1">
      <alignment vertical="top"/>
    </xf>
    <xf numFmtId="0" fontId="1" fillId="0" borderId="0" xfId="0" applyFont="1" applyFill="1" applyBorder="1"/>
    <xf numFmtId="164" fontId="4" fillId="6" borderId="1" xfId="0" applyNumberFormat="1" applyFont="1" applyFill="1" applyBorder="1" applyAlignment="1">
      <alignment horizontal="center"/>
    </xf>
    <xf numFmtId="0" fontId="6" fillId="0" borderId="0" xfId="0" applyFont="1" applyFill="1" applyBorder="1"/>
    <xf numFmtId="0" fontId="1" fillId="0" borderId="18" xfId="0" applyFont="1" applyFill="1" applyBorder="1"/>
    <xf numFmtId="0" fontId="1" fillId="0" borderId="6" xfId="0" applyFont="1" applyFill="1" applyBorder="1"/>
    <xf numFmtId="0" fontId="0" fillId="0" borderId="10" xfId="0" applyFill="1" applyBorder="1"/>
    <xf numFmtId="0" fontId="0" fillId="0" borderId="11" xfId="0" applyFill="1" applyBorder="1"/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" xfId="0" applyFill="1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3" fillId="5" borderId="27" xfId="0" applyFont="1" applyFill="1" applyBorder="1"/>
    <xf numFmtId="0" fontId="1" fillId="0" borderId="28" xfId="0" applyFont="1" applyBorder="1"/>
    <xf numFmtId="0" fontId="1" fillId="0" borderId="11" xfId="0" applyFont="1" applyBorder="1"/>
    <xf numFmtId="0" fontId="1" fillId="0" borderId="29" xfId="0" applyFont="1" applyBorder="1"/>
    <xf numFmtId="0" fontId="1" fillId="0" borderId="0" xfId="0" applyFont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 wrapText="1"/>
    </xf>
    <xf numFmtId="0" fontId="0" fillId="6" borderId="0" xfId="0" applyFill="1"/>
    <xf numFmtId="0" fontId="0" fillId="16" borderId="1" xfId="0" applyFill="1" applyBorder="1"/>
    <xf numFmtId="0" fontId="0" fillId="16" borderId="0" xfId="0" applyFill="1"/>
    <xf numFmtId="0" fontId="0" fillId="17" borderId="1" xfId="0" applyFill="1" applyBorder="1"/>
    <xf numFmtId="0" fontId="0" fillId="17" borderId="0" xfId="0" applyFill="1"/>
    <xf numFmtId="0" fontId="1" fillId="6" borderId="0" xfId="0" applyFont="1" applyFill="1" applyAlignment="1">
      <alignment horizontal="center"/>
    </xf>
    <xf numFmtId="0" fontId="1" fillId="16" borderId="0" xfId="0" applyFont="1" applyFill="1" applyAlignment="1">
      <alignment horizontal="center"/>
    </xf>
    <xf numFmtId="0" fontId="1" fillId="17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0" fillId="7" borderId="0" xfId="0" applyFill="1"/>
    <xf numFmtId="0" fontId="1" fillId="0" borderId="0" xfId="0" applyFont="1" applyBorder="1" applyAlignment="1">
      <alignment horizontal="center" vertical="center"/>
    </xf>
    <xf numFmtId="0" fontId="4" fillId="0" borderId="0" xfId="0" applyFont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0" fillId="0" borderId="24" xfId="0" applyBorder="1"/>
    <xf numFmtId="0" fontId="1" fillId="0" borderId="12" xfId="0" applyFont="1" applyBorder="1" applyAlignment="1">
      <alignment horizontal="right"/>
    </xf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35" xfId="0" applyBorder="1"/>
    <xf numFmtId="0" fontId="4" fillId="0" borderId="0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25" xfId="0" applyFont="1" applyBorder="1" applyAlignment="1">
      <alignment horizontal="center" vertical="center"/>
    </xf>
    <xf numFmtId="0" fontId="0" fillId="0" borderId="36" xfId="0" applyBorder="1" applyAlignment="1">
      <alignment horizontal="center" vertical="top" wrapText="1"/>
    </xf>
    <xf numFmtId="0" fontId="0" fillId="0" borderId="36" xfId="0" applyBorder="1" applyAlignment="1">
      <alignment horizontal="center" vertical="center"/>
    </xf>
    <xf numFmtId="0" fontId="0" fillId="0" borderId="36" xfId="0" applyBorder="1"/>
    <xf numFmtId="0" fontId="0" fillId="0" borderId="26" xfId="0" applyBorder="1"/>
    <xf numFmtId="0" fontId="0" fillId="11" borderId="1" xfId="0" applyFill="1" applyBorder="1" applyAlignment="1">
      <alignment horizontal="center" vertical="center"/>
    </xf>
    <xf numFmtId="0" fontId="0" fillId="11" borderId="1" xfId="0" applyFill="1" applyBorder="1"/>
    <xf numFmtId="0" fontId="5" fillId="0" borderId="33" xfId="0" applyFont="1" applyBorder="1" applyAlignment="1">
      <alignment horizontal="center" vertical="center" wrapText="1"/>
    </xf>
    <xf numFmtId="0" fontId="0" fillId="11" borderId="33" xfId="0" applyFill="1" applyBorder="1" applyAlignment="1">
      <alignment horizontal="center" vertical="center"/>
    </xf>
    <xf numFmtId="0" fontId="0" fillId="11" borderId="33" xfId="0" applyFill="1" applyBorder="1"/>
    <xf numFmtId="0" fontId="0" fillId="11" borderId="34" xfId="0" applyFill="1" applyBorder="1"/>
    <xf numFmtId="0" fontId="5" fillId="0" borderId="36" xfId="0" applyFont="1" applyBorder="1" applyAlignment="1">
      <alignment horizontal="center" vertical="center" wrapText="1"/>
    </xf>
    <xf numFmtId="0" fontId="0" fillId="11" borderId="36" xfId="0" applyFill="1" applyBorder="1" applyAlignment="1">
      <alignment horizontal="center" vertical="center"/>
    </xf>
    <xf numFmtId="0" fontId="0" fillId="11" borderId="36" xfId="0" applyFill="1" applyBorder="1"/>
    <xf numFmtId="0" fontId="0" fillId="11" borderId="26" xfId="0" applyFill="1" applyBorder="1"/>
    <xf numFmtId="0" fontId="0" fillId="11" borderId="40" xfId="0" applyFill="1" applyBorder="1" applyAlignment="1">
      <alignment horizontal="center" vertical="center"/>
    </xf>
    <xf numFmtId="0" fontId="5" fillId="0" borderId="41" xfId="0" applyFont="1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/>
    </xf>
    <xf numFmtId="0" fontId="0" fillId="11" borderId="2" xfId="0" applyFill="1" applyBorder="1"/>
    <xf numFmtId="0" fontId="0" fillId="11" borderId="43" xfId="0" applyFill="1" applyBorder="1"/>
    <xf numFmtId="0" fontId="5" fillId="0" borderId="33" xfId="0" applyFont="1" applyFill="1" applyBorder="1" applyAlignment="1">
      <alignment horizontal="center" vertical="center" wrapText="1"/>
    </xf>
    <xf numFmtId="0" fontId="4" fillId="0" borderId="7" xfId="0" applyFont="1" applyBorder="1"/>
    <xf numFmtId="0" fontId="4" fillId="0" borderId="10" xfId="0" applyFont="1" applyBorder="1"/>
    <xf numFmtId="0" fontId="4" fillId="0" borderId="31" xfId="0" applyFont="1" applyBorder="1"/>
    <xf numFmtId="0" fontId="5" fillId="0" borderId="12" xfId="0" applyFont="1" applyBorder="1" applyAlignment="1">
      <alignment horizontal="center" wrapText="1"/>
    </xf>
    <xf numFmtId="0" fontId="0" fillId="0" borderId="12" xfId="0" applyFont="1" applyBorder="1" applyAlignment="1">
      <alignment horizontal="center"/>
    </xf>
    <xf numFmtId="0" fontId="4" fillId="10" borderId="7" xfId="0" applyFont="1" applyFill="1" applyBorder="1" applyAlignment="1">
      <alignment horizontal="center"/>
    </xf>
    <xf numFmtId="0" fontId="1" fillId="10" borderId="8" xfId="0" applyFont="1" applyFill="1" applyBorder="1" applyAlignment="1">
      <alignment horizontal="center"/>
    </xf>
    <xf numFmtId="0" fontId="4" fillId="10" borderId="8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5" fillId="0" borderId="39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0" fillId="11" borderId="24" xfId="0" applyFill="1" applyBorder="1"/>
    <xf numFmtId="0" fontId="4" fillId="0" borderId="25" xfId="0" applyFont="1" applyBorder="1" applyAlignment="1">
      <alignment horizontal="center" vertical="center"/>
    </xf>
    <xf numFmtId="0" fontId="0" fillId="15" borderId="0" xfId="0" applyFill="1" applyBorder="1"/>
    <xf numFmtId="164" fontId="10" fillId="15" borderId="0" xfId="0" applyNumberFormat="1" applyFont="1" applyFill="1" applyBorder="1" applyAlignment="1">
      <alignment horizontal="center"/>
    </xf>
    <xf numFmtId="0" fontId="10" fillId="15" borderId="0" xfId="0" applyFont="1" applyFill="1" applyBorder="1" applyAlignment="1">
      <alignment horizontal="center"/>
    </xf>
    <xf numFmtId="0" fontId="11" fillId="15" borderId="0" xfId="0" applyFont="1" applyFill="1" applyBorder="1" applyAlignment="1">
      <alignment horizontal="center"/>
    </xf>
    <xf numFmtId="0" fontId="1" fillId="15" borderId="0" xfId="0" applyFont="1" applyFill="1" applyBorder="1"/>
    <xf numFmtId="0" fontId="4" fillId="15" borderId="10" xfId="0" applyFont="1" applyFill="1" applyBorder="1"/>
    <xf numFmtId="0" fontId="1" fillId="15" borderId="0" xfId="0" applyFont="1" applyFill="1" applyBorder="1" applyAlignment="1">
      <alignment horizontal="center"/>
    </xf>
    <xf numFmtId="0" fontId="1" fillId="15" borderId="11" xfId="0" applyFont="1" applyFill="1" applyBorder="1"/>
    <xf numFmtId="0" fontId="5" fillId="0" borderId="30" xfId="0" applyFont="1" applyFill="1" applyBorder="1" applyAlignment="1">
      <alignment horizontal="center" vertical="center" wrapText="1"/>
    </xf>
    <xf numFmtId="0" fontId="4" fillId="15" borderId="0" xfId="0" applyFont="1" applyFill="1" applyBorder="1" applyAlignment="1">
      <alignment horizontal="center" wrapText="1"/>
    </xf>
    <xf numFmtId="0" fontId="4" fillId="15" borderId="12" xfId="0" applyFont="1" applyFill="1" applyBorder="1" applyAlignment="1">
      <alignment horizontal="center" wrapText="1"/>
    </xf>
    <xf numFmtId="0" fontId="0" fillId="15" borderId="11" xfId="0" applyFill="1" applyBorder="1"/>
    <xf numFmtId="0" fontId="0" fillId="15" borderId="13" xfId="0" applyFill="1" applyBorder="1"/>
    <xf numFmtId="0" fontId="4" fillId="12" borderId="10" xfId="0" applyFont="1" applyFill="1" applyBorder="1"/>
    <xf numFmtId="14" fontId="1" fillId="0" borderId="0" xfId="0" applyNumberFormat="1" applyFont="1" applyBorder="1" applyAlignment="1">
      <alignment horizontal="center"/>
    </xf>
    <xf numFmtId="14" fontId="1" fillId="0" borderId="0" xfId="0" applyNumberFormat="1" applyFont="1" applyFill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23" xfId="0" applyFont="1" applyBorder="1"/>
    <xf numFmtId="0" fontId="1" fillId="15" borderId="10" xfId="0" applyFont="1" applyFill="1" applyBorder="1" applyAlignment="1">
      <alignment horizontal="center" vertical="center" wrapText="1"/>
    </xf>
    <xf numFmtId="0" fontId="0" fillId="0" borderId="31" xfId="0" applyBorder="1"/>
    <xf numFmtId="0" fontId="4" fillId="0" borderId="10" xfId="0" applyFont="1" applyBorder="1" applyAlignment="1">
      <alignment horizontal="left" vertical="center"/>
    </xf>
    <xf numFmtId="0" fontId="4" fillId="0" borderId="11" xfId="0" applyFont="1" applyBorder="1" applyAlignment="1">
      <alignment horizontal="center" vertical="center"/>
    </xf>
    <xf numFmtId="0" fontId="1" fillId="0" borderId="1" xfId="0" applyFont="1" applyBorder="1" applyAlignment="1">
      <alignment horizontal="left"/>
    </xf>
    <xf numFmtId="14" fontId="1" fillId="0" borderId="1" xfId="0" applyNumberFormat="1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4" fillId="0" borderId="0" xfId="0" applyFont="1" applyFill="1" applyBorder="1"/>
    <xf numFmtId="0" fontId="4" fillId="0" borderId="0" xfId="0" applyFont="1" applyFill="1" applyBorder="1" applyAlignment="1">
      <alignment horizontal="center" wrapText="1"/>
    </xf>
    <xf numFmtId="0" fontId="1" fillId="0" borderId="1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/>
    </xf>
    <xf numFmtId="0" fontId="0" fillId="0" borderId="0" xfId="0" applyNumberFormat="1"/>
    <xf numFmtId="0" fontId="0" fillId="15" borderId="0" xfId="0" applyFill="1"/>
    <xf numFmtId="0" fontId="4" fillId="15" borderId="0" xfId="0" applyFont="1" applyFill="1"/>
    <xf numFmtId="0" fontId="5" fillId="20" borderId="0" xfId="0" applyFont="1" applyFill="1"/>
    <xf numFmtId="0" fontId="5" fillId="20" borderId="0" xfId="0" applyFont="1" applyFill="1" applyAlignment="1">
      <alignment horizontal="left"/>
    </xf>
    <xf numFmtId="0" fontId="4" fillId="20" borderId="0" xfId="0" applyFont="1" applyFill="1"/>
    <xf numFmtId="0" fontId="5" fillId="15" borderId="0" xfId="0" applyFont="1" applyFill="1"/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3" fillId="0" borderId="0" xfId="0" applyFont="1" applyAlignment="1">
      <alignment horizontal="center" vertical="center" wrapText="1"/>
    </xf>
    <xf numFmtId="0" fontId="13" fillId="21" borderId="0" xfId="0" applyFont="1" applyFill="1" applyAlignment="1">
      <alignment horizontal="center" vertical="center"/>
    </xf>
    <xf numFmtId="0" fontId="13" fillId="21" borderId="0" xfId="0" applyFont="1" applyFill="1" applyAlignment="1">
      <alignment horizontal="left" vertical="center" indent="1"/>
    </xf>
    <xf numFmtId="0" fontId="13" fillId="21" borderId="0" xfId="0" applyFont="1" applyFill="1" applyAlignment="1">
      <alignment horizontal="center" vertical="center" wrapText="1"/>
    </xf>
    <xf numFmtId="0" fontId="13" fillId="22" borderId="0" xfId="0" applyFont="1" applyFill="1" applyAlignment="1">
      <alignment horizontal="center" vertical="center" wrapText="1"/>
    </xf>
    <xf numFmtId="0" fontId="13" fillId="22" borderId="0" xfId="0" applyFont="1" applyFill="1" applyAlignment="1">
      <alignment horizontal="left" vertical="center" indent="1"/>
    </xf>
    <xf numFmtId="0" fontId="13" fillId="22" borderId="0" xfId="0" applyFont="1" applyFill="1" applyAlignment="1">
      <alignment horizontal="center" vertical="center"/>
    </xf>
    <xf numFmtId="0" fontId="13" fillId="21" borderId="49" xfId="0" applyFont="1" applyFill="1" applyBorder="1" applyAlignment="1">
      <alignment horizontal="center" vertical="center"/>
    </xf>
    <xf numFmtId="0" fontId="13" fillId="22" borderId="49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22" borderId="52" xfId="0" applyFont="1" applyFill="1" applyBorder="1" applyAlignment="1">
      <alignment horizontal="center" vertical="center"/>
    </xf>
    <xf numFmtId="0" fontId="13" fillId="21" borderId="52" xfId="0" applyFont="1" applyFill="1" applyBorder="1" applyAlignment="1">
      <alignment horizontal="center" vertical="center"/>
    </xf>
    <xf numFmtId="0" fontId="14" fillId="22" borderId="0" xfId="0" applyFont="1" applyFill="1" applyAlignment="1">
      <alignment horizontal="center" vertical="center" wrapText="1"/>
    </xf>
    <xf numFmtId="0" fontId="15" fillId="21" borderId="0" xfId="0" applyFont="1" applyFill="1" applyAlignment="1">
      <alignment horizontal="center" vertical="center" wrapText="1"/>
    </xf>
    <xf numFmtId="0" fontId="13" fillId="22" borderId="53" xfId="0" applyFont="1" applyFill="1" applyBorder="1" applyAlignment="1">
      <alignment horizontal="center" vertical="center" wrapText="1"/>
    </xf>
    <xf numFmtId="0" fontId="13" fillId="22" borderId="53" xfId="0" applyFont="1" applyFill="1" applyBorder="1" applyAlignment="1">
      <alignment horizontal="center" vertical="center"/>
    </xf>
    <xf numFmtId="0" fontId="13" fillId="21" borderId="52" xfId="0" applyFont="1" applyFill="1" applyBorder="1" applyAlignment="1">
      <alignment horizontal="center" vertical="center" wrapText="1"/>
    </xf>
    <xf numFmtId="0" fontId="16" fillId="21" borderId="0" xfId="0" applyFont="1" applyFill="1" applyAlignment="1">
      <alignment horizontal="center" vertical="center"/>
    </xf>
    <xf numFmtId="0" fontId="17" fillId="21" borderId="0" xfId="0" applyFont="1" applyFill="1" applyAlignment="1">
      <alignment horizontal="center" vertical="center"/>
    </xf>
    <xf numFmtId="0" fontId="16" fillId="21" borderId="0" xfId="0" applyFont="1" applyFill="1" applyAlignment="1">
      <alignment horizontal="center" vertical="center" wrapText="1"/>
    </xf>
    <xf numFmtId="0" fontId="16" fillId="22" borderId="0" xfId="0" applyFont="1" applyFill="1" applyAlignment="1">
      <alignment horizontal="center" vertical="center" wrapText="1"/>
    </xf>
    <xf numFmtId="0" fontId="18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/>
    </xf>
    <xf numFmtId="0" fontId="18" fillId="21" borderId="0" xfId="0" applyFont="1" applyFill="1" applyAlignment="1">
      <alignment horizontal="center" vertical="center" wrapText="1"/>
    </xf>
    <xf numFmtId="0" fontId="16" fillId="22" borderId="53" xfId="0" applyFont="1" applyFill="1" applyBorder="1" applyAlignment="1">
      <alignment horizontal="center" vertical="center" wrapText="1"/>
    </xf>
    <xf numFmtId="0" fontId="16" fillId="22" borderId="53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22" borderId="0" xfId="0" applyFont="1" applyFill="1" applyAlignment="1">
      <alignment horizontal="center" vertical="center"/>
    </xf>
    <xf numFmtId="0" fontId="14" fillId="21" borderId="0" xfId="0" applyFont="1" applyFill="1" applyAlignment="1">
      <alignment horizontal="center" vertical="center" wrapText="1"/>
    </xf>
    <xf numFmtId="0" fontId="15" fillId="22" borderId="0" xfId="0" applyFont="1" applyFill="1" applyAlignment="1">
      <alignment horizontal="center" vertical="center"/>
    </xf>
    <xf numFmtId="0" fontId="17" fillId="21" borderId="0" xfId="0" applyFont="1" applyFill="1" applyAlignment="1">
      <alignment horizontal="center" vertical="center" wrapText="1"/>
    </xf>
    <xf numFmtId="0" fontId="16" fillId="22" borderId="0" xfId="0" applyFont="1" applyFill="1" applyAlignment="1">
      <alignment horizontal="center" vertical="center"/>
    </xf>
    <xf numFmtId="0" fontId="16" fillId="21" borderId="54" xfId="0" applyFont="1" applyFill="1" applyBorder="1" applyAlignment="1">
      <alignment horizontal="center" vertical="center" wrapText="1"/>
    </xf>
    <xf numFmtId="0" fontId="16" fillId="21" borderId="54" xfId="0" applyFont="1" applyFill="1" applyBorder="1" applyAlignment="1">
      <alignment horizontal="center" vertical="center"/>
    </xf>
    <xf numFmtId="0" fontId="13" fillId="22" borderId="52" xfId="0" applyFont="1" applyFill="1" applyBorder="1" applyAlignment="1">
      <alignment horizontal="center" vertical="center" wrapText="1"/>
    </xf>
    <xf numFmtId="0" fontId="13" fillId="21" borderId="54" xfId="0" applyFont="1" applyFill="1" applyBorder="1" applyAlignment="1">
      <alignment horizontal="center" vertical="center" wrapText="1"/>
    </xf>
    <xf numFmtId="0" fontId="13" fillId="21" borderId="54" xfId="0" applyFont="1" applyFill="1" applyBorder="1" applyAlignment="1">
      <alignment horizontal="center" vertical="center"/>
    </xf>
    <xf numFmtId="0" fontId="18" fillId="22" borderId="0" xfId="0" applyFont="1" applyFill="1" applyAlignment="1">
      <alignment horizontal="center" vertical="center"/>
    </xf>
    <xf numFmtId="0" fontId="14" fillId="21" borderId="0" xfId="0" applyFont="1" applyFill="1" applyAlignment="1">
      <alignment horizontal="center"/>
    </xf>
    <xf numFmtId="0" fontId="19" fillId="21" borderId="0" xfId="0" applyFont="1" applyFill="1" applyAlignment="1">
      <alignment horizontal="left" vertical="center" indent="1"/>
    </xf>
    <xf numFmtId="0" fontId="20" fillId="22" borderId="55" xfId="1" applyFont="1" applyFill="1" applyBorder="1" applyAlignment="1">
      <alignment horizontal="center" vertical="center"/>
    </xf>
    <xf numFmtId="0" fontId="13" fillId="23" borderId="0" xfId="0" applyFont="1" applyFill="1" applyAlignment="1">
      <alignment horizontal="left" vertical="center" indent="1"/>
    </xf>
    <xf numFmtId="0" fontId="13" fillId="23" borderId="49" xfId="0" applyFont="1" applyFill="1" applyBorder="1" applyAlignment="1">
      <alignment horizontal="center" vertical="center"/>
    </xf>
    <xf numFmtId="0" fontId="13" fillId="23" borderId="0" xfId="0" applyFont="1" applyFill="1" applyAlignment="1">
      <alignment horizontal="center" vertical="center"/>
    </xf>
    <xf numFmtId="0" fontId="13" fillId="23" borderId="0" xfId="0" applyFont="1" applyFill="1" applyAlignment="1">
      <alignment horizontal="center" vertical="center" wrapText="1"/>
    </xf>
    <xf numFmtId="0" fontId="17" fillId="23" borderId="0" xfId="0" applyFont="1" applyFill="1" applyAlignment="1">
      <alignment horizontal="center" vertical="center"/>
    </xf>
    <xf numFmtId="0" fontId="16" fillId="23" borderId="0" xfId="0" applyFont="1" applyFill="1" applyAlignment="1">
      <alignment horizontal="center" vertical="center"/>
    </xf>
    <xf numFmtId="0" fontId="16" fillId="23" borderId="0" xfId="0" applyFont="1" applyFill="1" applyAlignment="1">
      <alignment horizontal="center" vertical="center" wrapText="1"/>
    </xf>
    <xf numFmtId="0" fontId="13" fillId="19" borderId="0" xfId="0" applyFont="1" applyFill="1" applyAlignment="1">
      <alignment horizontal="center" vertical="center" wrapText="1"/>
    </xf>
    <xf numFmtId="0" fontId="13" fillId="19" borderId="0" xfId="0" applyFont="1" applyFill="1" applyAlignment="1">
      <alignment horizontal="center" vertical="center"/>
    </xf>
    <xf numFmtId="0" fontId="13" fillId="19" borderId="49" xfId="0" applyFont="1" applyFill="1" applyBorder="1" applyAlignment="1">
      <alignment horizontal="center" vertical="center"/>
    </xf>
    <xf numFmtId="0" fontId="16" fillId="19" borderId="0" xfId="0" applyFont="1" applyFill="1" applyAlignment="1">
      <alignment horizontal="center" vertical="center" wrapText="1"/>
    </xf>
    <xf numFmtId="0" fontId="17" fillId="19" borderId="0" xfId="0" applyFont="1" applyFill="1" applyAlignment="1">
      <alignment horizontal="center" vertical="center"/>
    </xf>
    <xf numFmtId="0" fontId="14" fillId="19" borderId="0" xfId="0" applyFont="1" applyFill="1" applyAlignment="1">
      <alignment horizontal="center" vertical="center" wrapText="1"/>
    </xf>
    <xf numFmtId="0" fontId="18" fillId="19" borderId="0" xfId="0" applyFont="1" applyFill="1" applyAlignment="1">
      <alignment horizontal="center" vertical="center" wrapText="1"/>
    </xf>
    <xf numFmtId="0" fontId="14" fillId="19" borderId="0" xfId="0" applyFont="1" applyFill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3" fillId="22" borderId="0" xfId="0" applyFont="1" applyFill="1" applyBorder="1" applyAlignment="1">
      <alignment horizontal="center" vertical="center"/>
    </xf>
    <xf numFmtId="0" fontId="0" fillId="24" borderId="0" xfId="0" applyFill="1" applyAlignment="1">
      <alignment vertical="center"/>
    </xf>
    <xf numFmtId="0" fontId="21" fillId="24" borderId="0" xfId="0" applyFont="1" applyFill="1" applyAlignment="1">
      <alignment vertical="center" wrapText="1"/>
    </xf>
    <xf numFmtId="0" fontId="0" fillId="24" borderId="0" xfId="0" applyFill="1" applyAlignment="1">
      <alignment horizontal="center" vertical="center"/>
    </xf>
    <xf numFmtId="0" fontId="23" fillId="24" borderId="0" xfId="0" applyFont="1" applyFill="1" applyAlignment="1">
      <alignment vertical="center"/>
    </xf>
    <xf numFmtId="0" fontId="0" fillId="19" borderId="0" xfId="0" applyFill="1" applyAlignment="1">
      <alignment vertical="center"/>
    </xf>
    <xf numFmtId="0" fontId="21" fillId="19" borderId="0" xfId="0" applyFont="1" applyFill="1" applyAlignment="1">
      <alignment vertical="center" wrapText="1"/>
    </xf>
    <xf numFmtId="0" fontId="23" fillId="19" borderId="0" xfId="0" applyFont="1" applyFill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1" fillId="0" borderId="8" xfId="0" applyFont="1" applyFill="1" applyBorder="1"/>
    <xf numFmtId="0" fontId="1" fillId="0" borderId="10" xfId="0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/>
    </xf>
    <xf numFmtId="0" fontId="9" fillId="0" borderId="0" xfId="1"/>
    <xf numFmtId="2" fontId="0" fillId="0" borderId="0" xfId="0" applyNumberFormat="1"/>
    <xf numFmtId="0" fontId="24" fillId="22" borderId="0" xfId="1" applyFont="1" applyFill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4" fillId="0" borderId="1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1" fillId="0" borderId="0" xfId="0" applyFont="1" applyFill="1" applyBorder="1" applyAlignment="1">
      <alignment horizontal="center" wrapText="1"/>
    </xf>
    <xf numFmtId="0" fontId="0" fillId="11" borderId="34" xfId="0" applyFill="1" applyBorder="1" applyAlignment="1">
      <alignment wrapText="1"/>
    </xf>
    <xf numFmtId="0" fontId="9" fillId="0" borderId="0" xfId="1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1" fillId="0" borderId="0" xfId="0" applyFont="1" applyAlignment="1"/>
    <xf numFmtId="0" fontId="9" fillId="0" borderId="0" xfId="1" applyAlignment="1">
      <alignment vertical="top"/>
    </xf>
    <xf numFmtId="0" fontId="4" fillId="0" borderId="10" xfId="0" applyFont="1" applyFill="1" applyBorder="1"/>
    <xf numFmtId="0" fontId="1" fillId="0" borderId="11" xfId="0" applyFont="1" applyFill="1" applyBorder="1"/>
    <xf numFmtId="0" fontId="1" fillId="0" borderId="10" xfId="0" applyFont="1" applyBorder="1"/>
    <xf numFmtId="0" fontId="0" fillId="0" borderId="10" xfId="0" applyBorder="1" applyAlignment="1">
      <alignment horizontal="center" vertical="center"/>
    </xf>
    <xf numFmtId="0" fontId="1" fillId="0" borderId="23" xfId="0" applyFont="1" applyBorder="1" applyAlignment="1">
      <alignment horizontal="left"/>
    </xf>
    <xf numFmtId="14" fontId="1" fillId="0" borderId="23" xfId="0" applyNumberFormat="1" applyFont="1" applyFill="1" applyBorder="1" applyAlignment="1">
      <alignment horizontal="left"/>
    </xf>
    <xf numFmtId="0" fontId="0" fillId="0" borderId="24" xfId="0" applyBorder="1" applyAlignment="1">
      <alignment horizontal="left"/>
    </xf>
    <xf numFmtId="0" fontId="1" fillId="0" borderId="59" xfId="0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21" fillId="19" borderId="0" xfId="0" applyFont="1" applyFill="1" applyAlignment="1">
      <alignment horizontal="center" vertical="center" wrapText="1"/>
    </xf>
    <xf numFmtId="0" fontId="1" fillId="0" borderId="6" xfId="0" applyFont="1" applyBorder="1" applyAlignment="1"/>
    <xf numFmtId="0" fontId="1" fillId="0" borderId="11" xfId="0" applyFont="1" applyBorder="1" applyAlignment="1"/>
    <xf numFmtId="0" fontId="0" fillId="0" borderId="1" xfId="0" applyBorder="1" applyAlignment="1">
      <alignment horizontal="center" vertical="center" wrapText="1"/>
    </xf>
    <xf numFmtId="0" fontId="1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11" borderId="34" xfId="0" applyFill="1" applyBorder="1" applyAlignment="1">
      <alignment horizontal="center"/>
    </xf>
    <xf numFmtId="0" fontId="0" fillId="11" borderId="43" xfId="0" applyFill="1" applyBorder="1" applyAlignment="1">
      <alignment horizontal="center"/>
    </xf>
    <xf numFmtId="0" fontId="0" fillId="11" borderId="26" xfId="0" applyFill="1" applyBorder="1" applyAlignment="1">
      <alignment horizontal="center"/>
    </xf>
    <xf numFmtId="0" fontId="27" fillId="0" borderId="0" xfId="0" applyFont="1" applyAlignment="1">
      <alignment horizontal="left" vertical="center" wrapText="1" indent="1"/>
    </xf>
    <xf numFmtId="0" fontId="0" fillId="0" borderId="61" xfId="0" applyBorder="1"/>
    <xf numFmtId="0" fontId="9" fillId="0" borderId="61" xfId="1" applyBorder="1" applyAlignment="1">
      <alignment horizontal="center" vertical="center"/>
    </xf>
    <xf numFmtId="0" fontId="5" fillId="3" borderId="3" xfId="0" applyFont="1" applyFill="1" applyBorder="1" applyAlignment="1">
      <alignment horizontal="center" wrapText="1"/>
    </xf>
    <xf numFmtId="0" fontId="5" fillId="3" borderId="4" xfId="0" applyFont="1" applyFill="1" applyBorder="1" applyAlignment="1">
      <alignment horizontal="center" wrapText="1"/>
    </xf>
    <xf numFmtId="0" fontId="28" fillId="0" borderId="1" xfId="0" applyFont="1" applyBorder="1"/>
    <xf numFmtId="164" fontId="1" fillId="11" borderId="7" xfId="0" applyNumberFormat="1" applyFont="1" applyFill="1" applyBorder="1"/>
    <xf numFmtId="164" fontId="4" fillId="0" borderId="1" xfId="0" applyNumberFormat="1" applyFont="1" applyBorder="1" applyAlignment="1">
      <alignment horizontal="center"/>
    </xf>
    <xf numFmtId="164" fontId="4" fillId="2" borderId="1" xfId="0" applyNumberFormat="1" applyFont="1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2" xfId="0" applyBorder="1" applyAlignment="1">
      <alignment wrapText="1"/>
    </xf>
    <xf numFmtId="0" fontId="0" fillId="0" borderId="1" xfId="0" applyBorder="1" applyAlignment="1">
      <alignment vertical="top" wrapText="1"/>
    </xf>
    <xf numFmtId="164" fontId="0" fillId="0" borderId="0" xfId="0" applyNumberFormat="1" applyFill="1"/>
    <xf numFmtId="164" fontId="0" fillId="0" borderId="0" xfId="0" applyNumberFormat="1"/>
    <xf numFmtId="0" fontId="5" fillId="3" borderId="33" xfId="0" applyFont="1" applyFill="1" applyBorder="1" applyAlignment="1">
      <alignment horizontal="center" vertical="center" wrapText="1"/>
    </xf>
    <xf numFmtId="0" fontId="5" fillId="3" borderId="30" xfId="0" applyFont="1" applyFill="1" applyBorder="1" applyAlignment="1">
      <alignment horizontal="center" vertical="center" wrapText="1"/>
    </xf>
    <xf numFmtId="0" fontId="5" fillId="6" borderId="33" xfId="0" applyFont="1" applyFill="1" applyBorder="1" applyAlignment="1">
      <alignment horizontal="center" vertical="center" wrapText="1"/>
    </xf>
    <xf numFmtId="0" fontId="5" fillId="6" borderId="41" xfId="0" applyFont="1" applyFill="1" applyBorder="1" applyAlignment="1">
      <alignment horizontal="center" vertical="center" wrapText="1"/>
    </xf>
    <xf numFmtId="0" fontId="5" fillId="26" borderId="33" xfId="0" applyFont="1" applyFill="1" applyBorder="1" applyAlignment="1">
      <alignment horizontal="center" vertical="center" wrapText="1"/>
    </xf>
    <xf numFmtId="0" fontId="5" fillId="26" borderId="41" xfId="0" applyFont="1" applyFill="1" applyBorder="1" applyAlignment="1">
      <alignment horizontal="center" vertical="center" wrapText="1"/>
    </xf>
    <xf numFmtId="0" fontId="5" fillId="27" borderId="33" xfId="0" applyFont="1" applyFill="1" applyBorder="1" applyAlignment="1">
      <alignment horizontal="center" vertical="center" wrapText="1"/>
    </xf>
    <xf numFmtId="0" fontId="5" fillId="27" borderId="41" xfId="0" applyFont="1" applyFill="1" applyBorder="1" applyAlignment="1">
      <alignment horizontal="center" vertical="center" wrapText="1"/>
    </xf>
    <xf numFmtId="0" fontId="5" fillId="28" borderId="33" xfId="0" applyFont="1" applyFill="1" applyBorder="1" applyAlignment="1">
      <alignment horizontal="center" vertical="center" wrapText="1"/>
    </xf>
    <xf numFmtId="0" fontId="5" fillId="28" borderId="41" xfId="0" applyFont="1" applyFill="1" applyBorder="1" applyAlignment="1">
      <alignment horizontal="center" vertical="center" wrapText="1"/>
    </xf>
    <xf numFmtId="0" fontId="5" fillId="29" borderId="33" xfId="0" applyFont="1" applyFill="1" applyBorder="1" applyAlignment="1">
      <alignment horizontal="center" vertical="center" wrapText="1"/>
    </xf>
    <xf numFmtId="0" fontId="5" fillId="30" borderId="33" xfId="0" applyFont="1" applyFill="1" applyBorder="1" applyAlignment="1">
      <alignment horizontal="center" vertical="center" wrapText="1"/>
    </xf>
    <xf numFmtId="0" fontId="5" fillId="15" borderId="33" xfId="0" applyFont="1" applyFill="1" applyBorder="1" applyAlignment="1">
      <alignment horizontal="center" vertical="center" wrapText="1"/>
    </xf>
    <xf numFmtId="0" fontId="0" fillId="11" borderId="26" xfId="0" applyFill="1" applyBorder="1" applyAlignment="1">
      <alignment horizontal="left" vertical="top"/>
    </xf>
    <xf numFmtId="0" fontId="0" fillId="11" borderId="24" xfId="0" applyFill="1" applyBorder="1" applyAlignment="1">
      <alignment wrapText="1"/>
    </xf>
    <xf numFmtId="0" fontId="0" fillId="11" borderId="26" xfId="0" applyFill="1" applyBorder="1" applyAlignment="1">
      <alignment wrapText="1"/>
    </xf>
    <xf numFmtId="0" fontId="0" fillId="11" borderId="43" xfId="0" applyFill="1" applyBorder="1" applyAlignment="1">
      <alignment wrapText="1"/>
    </xf>
    <xf numFmtId="0" fontId="0" fillId="11" borderId="33" xfId="0" applyFill="1" applyBorder="1" applyAlignment="1">
      <alignment horizontal="center" vertical="center" wrapText="1"/>
    </xf>
    <xf numFmtId="0" fontId="0" fillId="11" borderId="33" xfId="0" applyFill="1" applyBorder="1" applyAlignment="1">
      <alignment wrapText="1"/>
    </xf>
    <xf numFmtId="0" fontId="0" fillId="11" borderId="2" xfId="0" applyFill="1" applyBorder="1" applyAlignment="1">
      <alignment horizontal="center" vertical="center" wrapText="1"/>
    </xf>
    <xf numFmtId="0" fontId="0" fillId="11" borderId="2" xfId="0" applyFill="1" applyBorder="1" applyAlignment="1">
      <alignment wrapText="1"/>
    </xf>
    <xf numFmtId="0" fontId="0" fillId="11" borderId="36" xfId="0" applyFill="1" applyBorder="1" applyAlignment="1">
      <alignment horizontal="center" vertical="center" wrapText="1"/>
    </xf>
    <xf numFmtId="0" fontId="0" fillId="11" borderId="36" xfId="0" applyFill="1" applyBorder="1" applyAlignment="1">
      <alignment wrapText="1"/>
    </xf>
    <xf numFmtId="0" fontId="0" fillId="11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wrapText="1"/>
    </xf>
    <xf numFmtId="20" fontId="0" fillId="0" borderId="0" xfId="0" applyNumberFormat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4" fontId="1" fillId="0" borderId="10" xfId="0" applyNumberFormat="1" applyFont="1" applyFill="1" applyBorder="1" applyAlignment="1">
      <alignment horizontal="left"/>
    </xf>
    <xf numFmtId="14" fontId="1" fillId="0" borderId="0" xfId="0" applyNumberFormat="1" applyFont="1" applyFill="1" applyBorder="1" applyAlignment="1">
      <alignment horizontal="left"/>
    </xf>
    <xf numFmtId="0" fontId="0" fillId="0" borderId="1" xfId="0" applyBorder="1" applyAlignment="1">
      <alignment horizontal="left" wrapText="1"/>
    </xf>
    <xf numFmtId="0" fontId="0" fillId="11" borderId="0" xfId="0" applyFill="1"/>
    <xf numFmtId="0" fontId="13" fillId="22" borderId="50" xfId="0" applyFont="1" applyFill="1" applyBorder="1" applyAlignment="1">
      <alignment horizontal="center" vertical="center" wrapText="1"/>
    </xf>
    <xf numFmtId="0" fontId="13" fillId="22" borderId="51" xfId="0" applyFont="1" applyFill="1" applyBorder="1" applyAlignment="1">
      <alignment horizontal="center" vertical="center" wrapText="1"/>
    </xf>
    <xf numFmtId="0" fontId="24" fillId="22" borderId="56" xfId="1" applyFont="1" applyFill="1" applyBorder="1" applyAlignment="1">
      <alignment horizontal="center" vertical="center" wrapText="1"/>
    </xf>
    <xf numFmtId="0" fontId="24" fillId="22" borderId="57" xfId="1" applyFont="1" applyFill="1" applyBorder="1" applyAlignment="1">
      <alignment horizontal="center" vertical="center" wrapText="1"/>
    </xf>
    <xf numFmtId="0" fontId="22" fillId="25" borderId="56" xfId="1" applyFont="1" applyFill="1" applyBorder="1" applyAlignment="1">
      <alignment horizontal="center" vertical="center" wrapText="1"/>
    </xf>
    <xf numFmtId="0" fontId="22" fillId="25" borderId="57" xfId="1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1" fillId="7" borderId="10" xfId="0" applyFont="1" applyFill="1" applyBorder="1" applyAlignment="1">
      <alignment horizontal="center"/>
    </xf>
    <xf numFmtId="0" fontId="1" fillId="7" borderId="0" xfId="0" applyFont="1" applyFill="1" applyBorder="1" applyAlignment="1">
      <alignment horizontal="center"/>
    </xf>
    <xf numFmtId="0" fontId="1" fillId="7" borderId="11" xfId="0" applyFont="1" applyFill="1" applyBorder="1" applyAlignment="1">
      <alignment horizontal="center"/>
    </xf>
    <xf numFmtId="0" fontId="4" fillId="0" borderId="23" xfId="0" applyFont="1" applyBorder="1" applyAlignment="1">
      <alignment horizontal="left" vertical="center"/>
    </xf>
    <xf numFmtId="0" fontId="4" fillId="0" borderId="1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1" fillId="14" borderId="47" xfId="0" applyFont="1" applyFill="1" applyBorder="1" applyAlignment="1">
      <alignment horizontal="center" vertical="center" wrapText="1"/>
    </xf>
    <xf numFmtId="0" fontId="1" fillId="14" borderId="10" xfId="0" applyFont="1" applyFill="1" applyBorder="1" applyAlignment="1">
      <alignment horizontal="center" vertical="center" wrapText="1"/>
    </xf>
    <xf numFmtId="0" fontId="1" fillId="14" borderId="48" xfId="0" applyFont="1" applyFill="1" applyBorder="1" applyAlignment="1">
      <alignment horizontal="center" vertical="center" wrapText="1"/>
    </xf>
    <xf numFmtId="0" fontId="1" fillId="9" borderId="7" xfId="0" applyFont="1" applyFill="1" applyBorder="1" applyAlignment="1">
      <alignment horizontal="center" vertical="center"/>
    </xf>
    <xf numFmtId="0" fontId="1" fillId="9" borderId="10" xfId="0" applyFont="1" applyFill="1" applyBorder="1" applyAlignment="1">
      <alignment horizontal="center" vertical="center"/>
    </xf>
    <xf numFmtId="0" fontId="1" fillId="9" borderId="48" xfId="0" applyFont="1" applyFill="1" applyBorder="1" applyAlignment="1">
      <alignment horizontal="center" vertical="center"/>
    </xf>
    <xf numFmtId="0" fontId="1" fillId="10" borderId="47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1" fillId="11" borderId="47" xfId="0" applyFont="1" applyFill="1" applyBorder="1" applyAlignment="1">
      <alignment horizontal="center" vertical="center"/>
    </xf>
    <xf numFmtId="0" fontId="1" fillId="11" borderId="10" xfId="0" applyFont="1" applyFill="1" applyBorder="1" applyAlignment="1">
      <alignment horizontal="center" vertical="center"/>
    </xf>
    <xf numFmtId="0" fontId="1" fillId="11" borderId="48" xfId="0" applyFont="1" applyFill="1" applyBorder="1" applyAlignment="1">
      <alignment horizontal="center" vertical="center"/>
    </xf>
    <xf numFmtId="0" fontId="1" fillId="13" borderId="10" xfId="0" applyFont="1" applyFill="1" applyBorder="1" applyAlignment="1">
      <alignment horizontal="center" vertical="center" wrapText="1"/>
    </xf>
    <xf numFmtId="0" fontId="1" fillId="13" borderId="48" xfId="0" applyFont="1" applyFill="1" applyBorder="1" applyAlignment="1">
      <alignment horizontal="center" vertical="center" wrapText="1"/>
    </xf>
    <xf numFmtId="0" fontId="1" fillId="12" borderId="47" xfId="0" applyFont="1" applyFill="1" applyBorder="1" applyAlignment="1">
      <alignment horizontal="center" vertical="center"/>
    </xf>
    <xf numFmtId="0" fontId="1" fillId="12" borderId="10" xfId="0" applyFont="1" applyFill="1" applyBorder="1" applyAlignment="1">
      <alignment horizontal="center" vertical="center"/>
    </xf>
    <xf numFmtId="14" fontId="1" fillId="0" borderId="8" xfId="0" applyNumberFormat="1" applyFont="1" applyBorder="1" applyAlignment="1">
      <alignment horizontal="center"/>
    </xf>
    <xf numFmtId="14" fontId="1" fillId="0" borderId="0" xfId="0" applyNumberFormat="1" applyFont="1" applyBorder="1" applyAlignment="1">
      <alignment horizontal="center"/>
    </xf>
    <xf numFmtId="0" fontId="0" fillId="0" borderId="23" xfId="0" applyBorder="1" applyAlignment="1">
      <alignment horizontal="center" vertical="center"/>
    </xf>
    <xf numFmtId="14" fontId="1" fillId="7" borderId="10" xfId="0" applyNumberFormat="1" applyFont="1" applyFill="1" applyBorder="1" applyAlignment="1">
      <alignment horizontal="center"/>
    </xf>
    <xf numFmtId="14" fontId="1" fillId="7" borderId="0" xfId="0" applyNumberFormat="1" applyFont="1" applyFill="1" applyBorder="1" applyAlignment="1">
      <alignment horizontal="center"/>
    </xf>
    <xf numFmtId="14" fontId="1" fillId="7" borderId="11" xfId="0" applyNumberFormat="1" applyFont="1" applyFill="1" applyBorder="1" applyAlignment="1">
      <alignment horizontal="center"/>
    </xf>
    <xf numFmtId="0" fontId="1" fillId="12" borderId="48" xfId="0" applyFont="1" applyFill="1" applyBorder="1" applyAlignment="1">
      <alignment horizontal="center" vertical="center"/>
    </xf>
    <xf numFmtId="0" fontId="1" fillId="13" borderId="47" xfId="0" applyFont="1" applyFill="1" applyBorder="1" applyAlignment="1">
      <alignment horizontal="center" vertical="center" wrapText="1"/>
    </xf>
    <xf numFmtId="0" fontId="1" fillId="9" borderId="47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7" borderId="47" xfId="0" applyFont="1" applyFill="1" applyBorder="1" applyAlignment="1">
      <alignment horizontal="center"/>
    </xf>
    <xf numFmtId="0" fontId="1" fillId="7" borderId="18" xfId="0" applyFont="1" applyFill="1" applyBorder="1" applyAlignment="1">
      <alignment horizontal="center"/>
    </xf>
    <xf numFmtId="0" fontId="1" fillId="7" borderId="28" xfId="0" applyFont="1" applyFill="1" applyBorder="1" applyAlignment="1">
      <alignment horizontal="center"/>
    </xf>
    <xf numFmtId="0" fontId="5" fillId="0" borderId="1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14" borderId="15" xfId="0" applyFont="1" applyFill="1" applyBorder="1" applyAlignment="1">
      <alignment horizontal="center" vertical="center" wrapText="1"/>
    </xf>
    <xf numFmtId="0" fontId="1" fillId="14" borderId="16" xfId="0" applyFont="1" applyFill="1" applyBorder="1" applyAlignment="1">
      <alignment horizontal="center" vertical="center" wrapText="1"/>
    </xf>
    <xf numFmtId="0" fontId="1" fillId="14" borderId="17" xfId="0" applyFont="1" applyFill="1" applyBorder="1" applyAlignment="1">
      <alignment horizontal="center" vertical="center" wrapText="1"/>
    </xf>
    <xf numFmtId="0" fontId="0" fillId="0" borderId="21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1" fillId="13" borderId="15" xfId="0" applyFont="1" applyFill="1" applyBorder="1" applyAlignment="1">
      <alignment horizontal="center" vertical="center" wrapText="1"/>
    </xf>
    <xf numFmtId="0" fontId="1" fillId="13" borderId="16" xfId="0" applyFont="1" applyFill="1" applyBorder="1" applyAlignment="1">
      <alignment horizontal="center" vertical="center" wrapText="1"/>
    </xf>
    <xf numFmtId="0" fontId="1" fillId="13" borderId="17" xfId="0" applyFont="1" applyFill="1" applyBorder="1" applyAlignment="1">
      <alignment horizontal="center" vertical="center" wrapText="1"/>
    </xf>
    <xf numFmtId="0" fontId="1" fillId="12" borderId="15" xfId="0" applyFont="1" applyFill="1" applyBorder="1" applyAlignment="1">
      <alignment horizontal="center" vertical="center"/>
    </xf>
    <xf numFmtId="0" fontId="1" fillId="12" borderId="16" xfId="0" applyFont="1" applyFill="1" applyBorder="1" applyAlignment="1">
      <alignment horizontal="center" vertical="center"/>
    </xf>
    <xf numFmtId="0" fontId="1" fillId="12" borderId="17" xfId="0" applyFont="1" applyFill="1" applyBorder="1" applyAlignment="1">
      <alignment horizontal="center" vertical="center"/>
    </xf>
    <xf numFmtId="0" fontId="1" fillId="11" borderId="15" xfId="0" applyFont="1" applyFill="1" applyBorder="1" applyAlignment="1">
      <alignment horizontal="center" vertical="center"/>
    </xf>
    <xf numFmtId="0" fontId="1" fillId="11" borderId="16" xfId="0" applyFont="1" applyFill="1" applyBorder="1" applyAlignment="1">
      <alignment horizontal="center" vertical="center"/>
    </xf>
    <xf numFmtId="0" fontId="1" fillId="11" borderId="17" xfId="0" applyFont="1" applyFill="1" applyBorder="1" applyAlignment="1">
      <alignment horizontal="center" vertical="center"/>
    </xf>
    <xf numFmtId="0" fontId="1" fillId="10" borderId="15" xfId="0" applyFont="1" applyFill="1" applyBorder="1" applyAlignment="1">
      <alignment horizontal="center" vertical="center"/>
    </xf>
    <xf numFmtId="0" fontId="1" fillId="10" borderId="16" xfId="0" applyFont="1" applyFill="1" applyBorder="1" applyAlignment="1">
      <alignment horizontal="center" vertical="center"/>
    </xf>
    <xf numFmtId="0" fontId="1" fillId="10" borderId="17" xfId="0" applyFont="1" applyFill="1" applyBorder="1" applyAlignment="1">
      <alignment horizontal="center" vertical="center"/>
    </xf>
    <xf numFmtId="0" fontId="0" fillId="6" borderId="21" xfId="0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7" fillId="3" borderId="21" xfId="0" applyFont="1" applyFill="1" applyBorder="1" applyAlignment="1">
      <alignment horizontal="center" vertical="top" wrapText="1"/>
    </xf>
    <xf numFmtId="0" fontId="7" fillId="3" borderId="22" xfId="0" applyFont="1" applyFill="1" applyBorder="1" applyAlignment="1">
      <alignment horizontal="center" vertical="top" wrapText="1"/>
    </xf>
    <xf numFmtId="0" fontId="5" fillId="3" borderId="21" xfId="0" applyFont="1" applyFill="1" applyBorder="1" applyAlignment="1">
      <alignment horizontal="center"/>
    </xf>
    <xf numFmtId="0" fontId="5" fillId="3" borderId="22" xfId="0" applyFont="1" applyFill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164" fontId="4" fillId="2" borderId="19" xfId="0" applyNumberFormat="1" applyFont="1" applyFill="1" applyBorder="1" applyAlignment="1">
      <alignment horizontal="center"/>
    </xf>
    <xf numFmtId="164" fontId="4" fillId="2" borderId="20" xfId="0" applyNumberFormat="1" applyFont="1" applyFill="1" applyBorder="1" applyAlignment="1">
      <alignment horizontal="center"/>
    </xf>
    <xf numFmtId="0" fontId="8" fillId="6" borderId="0" xfId="0" applyFont="1" applyFill="1" applyBorder="1" applyAlignment="1">
      <alignment horizontal="center"/>
    </xf>
    <xf numFmtId="0" fontId="8" fillId="6" borderId="14" xfId="0" applyFont="1" applyFill="1" applyBorder="1" applyAlignment="1">
      <alignment horizontal="center"/>
    </xf>
    <xf numFmtId="0" fontId="1" fillId="9" borderId="15" xfId="0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7" xfId="0" applyFont="1" applyFill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/>
    </xf>
    <xf numFmtId="164" fontId="4" fillId="0" borderId="20" xfId="0" applyNumberFormat="1" applyFont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22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4" fillId="15" borderId="7" xfId="0" applyFont="1" applyFill="1" applyBorder="1" applyAlignment="1">
      <alignment horizontal="center" vertical="center"/>
    </xf>
    <xf numFmtId="0" fontId="4" fillId="15" borderId="38" xfId="0" applyFont="1" applyFill="1" applyBorder="1" applyAlignment="1">
      <alignment horizontal="center" vertical="center"/>
    </xf>
    <xf numFmtId="0" fontId="4" fillId="30" borderId="7" xfId="0" applyFont="1" applyFill="1" applyBorder="1" applyAlignment="1">
      <alignment horizontal="center" vertical="center"/>
    </xf>
    <xf numFmtId="0" fontId="4" fillId="30" borderId="38" xfId="0" applyFont="1" applyFill="1" applyBorder="1" applyAlignment="1">
      <alignment horizontal="center" vertical="center"/>
    </xf>
    <xf numFmtId="0" fontId="26" fillId="15" borderId="0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10" fillId="12" borderId="7" xfId="0" applyFont="1" applyFill="1" applyBorder="1" applyAlignment="1">
      <alignment horizontal="center" vertical="center"/>
    </xf>
    <xf numFmtId="0" fontId="10" fillId="12" borderId="0" xfId="0" applyFont="1" applyFill="1" applyBorder="1" applyAlignment="1">
      <alignment horizontal="center" vertical="center"/>
    </xf>
    <xf numFmtId="0" fontId="10" fillId="12" borderId="11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0" fillId="12" borderId="8" xfId="0" applyFont="1" applyFill="1" applyBorder="1" applyAlignment="1">
      <alignment horizontal="center" vertical="center"/>
    </xf>
    <xf numFmtId="0" fontId="10" fillId="12" borderId="9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wrapText="1"/>
    </xf>
    <xf numFmtId="0" fontId="1" fillId="0" borderId="11" xfId="0" applyFont="1" applyBorder="1" applyAlignment="1">
      <alignment horizontal="center" wrapText="1"/>
    </xf>
    <xf numFmtId="0" fontId="1" fillId="0" borderId="1" xfId="0" applyFont="1" applyBorder="1" applyAlignment="1">
      <alignment horizontal="center" vertical="center"/>
    </xf>
    <xf numFmtId="0" fontId="1" fillId="0" borderId="6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4" xfId="0" applyBorder="1" applyAlignment="1">
      <alignment horizontal="center" wrapText="1"/>
    </xf>
    <xf numFmtId="164" fontId="10" fillId="0" borderId="8" xfId="0" applyNumberFormat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1" fillId="12" borderId="0" xfId="0" applyFont="1" applyFill="1" applyBorder="1" applyAlignment="1">
      <alignment horizontal="center"/>
    </xf>
    <xf numFmtId="0" fontId="11" fillId="12" borderId="11" xfId="0" applyFont="1" applyFill="1" applyBorder="1" applyAlignment="1">
      <alignment horizontal="center"/>
    </xf>
    <xf numFmtId="0" fontId="10" fillId="12" borderId="7" xfId="0" applyFont="1" applyFill="1" applyBorder="1" applyAlignment="1">
      <alignment horizontal="center"/>
    </xf>
    <xf numFmtId="0" fontId="10" fillId="12" borderId="8" xfId="0" applyFont="1" applyFill="1" applyBorder="1" applyAlignment="1">
      <alignment horizontal="center"/>
    </xf>
    <xf numFmtId="0" fontId="10" fillId="12" borderId="9" xfId="0" applyFont="1" applyFill="1" applyBorder="1" applyAlignment="1">
      <alignment horizontal="center"/>
    </xf>
    <xf numFmtId="0" fontId="4" fillId="0" borderId="37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0" fontId="4" fillId="0" borderId="25" xfId="0" applyFont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 wrapText="1"/>
    </xf>
    <xf numFmtId="0" fontId="5" fillId="2" borderId="24" xfId="0" applyFont="1" applyFill="1" applyBorder="1" applyAlignment="1">
      <alignment horizontal="left" vertical="center" wrapText="1"/>
    </xf>
    <xf numFmtId="0" fontId="5" fillId="2" borderId="36" xfId="0" applyFont="1" applyFill="1" applyBorder="1" applyAlignment="1">
      <alignment horizontal="left" vertical="center" wrapText="1"/>
    </xf>
    <xf numFmtId="0" fontId="5" fillId="2" borderId="26" xfId="0" applyFont="1" applyFill="1" applyBorder="1" applyAlignment="1">
      <alignment horizontal="left" vertical="center" wrapText="1"/>
    </xf>
    <xf numFmtId="0" fontId="5" fillId="0" borderId="33" xfId="0" applyFont="1" applyBorder="1" applyAlignment="1">
      <alignment horizontal="left" vertical="center"/>
    </xf>
    <xf numFmtId="0" fontId="5" fillId="0" borderId="34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24" xfId="0" applyFont="1" applyBorder="1" applyAlignment="1">
      <alignment horizontal="left" vertical="center"/>
    </xf>
    <xf numFmtId="0" fontId="5" fillId="18" borderId="1" xfId="0" applyFont="1" applyFill="1" applyBorder="1" applyAlignment="1">
      <alignment horizontal="left" vertical="center" wrapText="1"/>
    </xf>
    <xf numFmtId="0" fontId="5" fillId="18" borderId="24" xfId="0" applyFont="1" applyFill="1" applyBorder="1" applyAlignment="1">
      <alignment horizontal="left" vertical="center" wrapText="1"/>
    </xf>
    <xf numFmtId="0" fontId="4" fillId="0" borderId="32" xfId="0" applyFont="1" applyBorder="1" applyAlignment="1">
      <alignment horizontal="left" vertical="center"/>
    </xf>
    <xf numFmtId="0" fontId="0" fillId="0" borderId="44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4" fillId="28" borderId="7" xfId="0" applyFont="1" applyFill="1" applyBorder="1" applyAlignment="1">
      <alignment horizontal="center" vertical="center"/>
    </xf>
    <xf numFmtId="0" fontId="4" fillId="28" borderId="38" xfId="0" applyFont="1" applyFill="1" applyBorder="1" applyAlignment="1">
      <alignment horizontal="center" vertical="center"/>
    </xf>
    <xf numFmtId="0" fontId="4" fillId="29" borderId="7" xfId="0" applyFont="1" applyFill="1" applyBorder="1" applyAlignment="1">
      <alignment horizontal="center" vertical="center"/>
    </xf>
    <xf numFmtId="0" fontId="4" fillId="29" borderId="38" xfId="0" applyFont="1" applyFill="1" applyBorder="1" applyAlignment="1">
      <alignment horizontal="center" vertical="center"/>
    </xf>
    <xf numFmtId="0" fontId="10" fillId="12" borderId="0" xfId="0" applyFont="1" applyFill="1" applyBorder="1" applyAlignment="1">
      <alignment horizontal="center"/>
    </xf>
    <xf numFmtId="0" fontId="10" fillId="12" borderId="11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 vertical="center"/>
    </xf>
    <xf numFmtId="0" fontId="4" fillId="3" borderId="42" xfId="0" applyFont="1" applyFill="1" applyBorder="1" applyAlignment="1">
      <alignment horizontal="center" vertical="center"/>
    </xf>
    <xf numFmtId="0" fontId="4" fillId="26" borderId="7" xfId="0" applyFont="1" applyFill="1" applyBorder="1" applyAlignment="1">
      <alignment horizontal="center" vertical="center"/>
    </xf>
    <xf numFmtId="0" fontId="4" fillId="26" borderId="38" xfId="0" applyFont="1" applyFill="1" applyBorder="1" applyAlignment="1">
      <alignment horizontal="center" vertical="center"/>
    </xf>
    <xf numFmtId="0" fontId="4" fillId="27" borderId="7" xfId="0" applyFont="1" applyFill="1" applyBorder="1" applyAlignment="1">
      <alignment horizontal="center" vertical="center"/>
    </xf>
    <xf numFmtId="0" fontId="4" fillId="27" borderId="38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38" xfId="0" applyFont="1" applyFill="1" applyBorder="1" applyAlignment="1">
      <alignment horizontal="center" vertical="center"/>
    </xf>
    <xf numFmtId="0" fontId="1" fillId="8" borderId="0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3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left style="medium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left style="medium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left style="medium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left style="medium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left style="medium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7C7C7C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hyperlink" Target="#Runsheet!BI6"/><Relationship Id="rId18" Type="http://schemas.openxmlformats.org/officeDocument/2006/relationships/hyperlink" Target="#Runsheet!R6"/><Relationship Id="rId26" Type="http://schemas.openxmlformats.org/officeDocument/2006/relationships/hyperlink" Target="#day_4!B1"/><Relationship Id="rId39" Type="http://schemas.openxmlformats.org/officeDocument/2006/relationships/hyperlink" Target="#'z. Data_Formula_Legend'!A1"/><Relationship Id="rId21" Type="http://schemas.openxmlformats.org/officeDocument/2006/relationships/hyperlink" Target="#Runsheet!B6"/><Relationship Id="rId34" Type="http://schemas.openxmlformats.org/officeDocument/2006/relationships/hyperlink" Target="#day_12!B1"/><Relationship Id="rId42" Type="http://schemas.openxmlformats.org/officeDocument/2006/relationships/hyperlink" Target="#'z. Data_Formula_Legend'!B111"/><Relationship Id="rId47" Type="http://schemas.openxmlformats.org/officeDocument/2006/relationships/hyperlink" Target="#'z. Data_Formula_Legend'!B77"/><Relationship Id="rId50" Type="http://schemas.openxmlformats.org/officeDocument/2006/relationships/hyperlink" Target="#'z. Data_Formula_Legend'!B58"/><Relationship Id="rId7" Type="http://schemas.openxmlformats.org/officeDocument/2006/relationships/hyperlink" Target="#'z. Data_Formula_Legend'!D4"/><Relationship Id="rId2" Type="http://schemas.openxmlformats.org/officeDocument/2006/relationships/hyperlink" Target="#'z. Data_Formula_Legend'!R20"/><Relationship Id="rId16" Type="http://schemas.openxmlformats.org/officeDocument/2006/relationships/hyperlink" Target="#Runsheet!AK6"/><Relationship Id="rId29" Type="http://schemas.openxmlformats.org/officeDocument/2006/relationships/hyperlink" Target="#day_7!B1"/><Relationship Id="rId11" Type="http://schemas.openxmlformats.org/officeDocument/2006/relationships/hyperlink" Target="#Runsheet!BV6"/><Relationship Id="rId24" Type="http://schemas.openxmlformats.org/officeDocument/2006/relationships/hyperlink" Target="#day_2!B1"/><Relationship Id="rId32" Type="http://schemas.openxmlformats.org/officeDocument/2006/relationships/hyperlink" Target="#day_10!B1"/><Relationship Id="rId37" Type="http://schemas.openxmlformats.org/officeDocument/2006/relationships/hyperlink" Target="#'z. Data_Formula_Legend'!A44"/><Relationship Id="rId40" Type="http://schemas.openxmlformats.org/officeDocument/2006/relationships/hyperlink" Target="#'z. Data_Formula_Legend'!B125"/><Relationship Id="rId45" Type="http://schemas.openxmlformats.org/officeDocument/2006/relationships/hyperlink" Target="#'z. Data_Formula_Legend'!B89"/><Relationship Id="rId53" Type="http://schemas.openxmlformats.org/officeDocument/2006/relationships/image" Target="../media/image4.svg"/><Relationship Id="rId5" Type="http://schemas.openxmlformats.org/officeDocument/2006/relationships/hyperlink" Target="#'z. Data_Formula_Legend'!F20"/><Relationship Id="rId10" Type="http://schemas.openxmlformats.org/officeDocument/2006/relationships/hyperlink" Target="#Runsheet!CD6"/><Relationship Id="rId19" Type="http://schemas.openxmlformats.org/officeDocument/2006/relationships/hyperlink" Target="#Runsheet!J6"/><Relationship Id="rId31" Type="http://schemas.openxmlformats.org/officeDocument/2006/relationships/hyperlink" Target="#day_9!B1"/><Relationship Id="rId44" Type="http://schemas.openxmlformats.org/officeDocument/2006/relationships/hyperlink" Target="#'z. Data_Formula_Legend'!B96"/><Relationship Id="rId52" Type="http://schemas.openxmlformats.org/officeDocument/2006/relationships/image" Target="../media/image3.png"/><Relationship Id="rId4" Type="http://schemas.openxmlformats.org/officeDocument/2006/relationships/hyperlink" Target="#'z. Data_Formula_Legend'!J20"/><Relationship Id="rId9" Type="http://schemas.openxmlformats.org/officeDocument/2006/relationships/hyperlink" Target="#Runsheet!CL6"/><Relationship Id="rId14" Type="http://schemas.openxmlformats.org/officeDocument/2006/relationships/hyperlink" Target="#Runsheet!AX6"/><Relationship Id="rId22" Type="http://schemas.openxmlformats.org/officeDocument/2006/relationships/hyperlink" Target="#'Food Serves'!A1"/><Relationship Id="rId27" Type="http://schemas.openxmlformats.org/officeDocument/2006/relationships/hyperlink" Target="#day_5!B1"/><Relationship Id="rId30" Type="http://schemas.openxmlformats.org/officeDocument/2006/relationships/hyperlink" Target="#day_8!B1"/><Relationship Id="rId35" Type="http://schemas.openxmlformats.org/officeDocument/2006/relationships/hyperlink" Target="#day_1!B1"/><Relationship Id="rId43" Type="http://schemas.openxmlformats.org/officeDocument/2006/relationships/hyperlink" Target="#'z. Data_Formula_Legend'!B103"/><Relationship Id="rId48" Type="http://schemas.openxmlformats.org/officeDocument/2006/relationships/hyperlink" Target="#'z. Data_Formula_Legend'!B71"/><Relationship Id="rId8" Type="http://schemas.openxmlformats.org/officeDocument/2006/relationships/hyperlink" Target="#data_formula_legend!A1"/><Relationship Id="rId51" Type="http://schemas.openxmlformats.org/officeDocument/2006/relationships/image" Target="../media/image2.png"/><Relationship Id="rId3" Type="http://schemas.openxmlformats.org/officeDocument/2006/relationships/hyperlink" Target="#'z. Data_Formula_Legend'!N20"/><Relationship Id="rId12" Type="http://schemas.openxmlformats.org/officeDocument/2006/relationships/hyperlink" Target="#Runsheet!BQ6"/><Relationship Id="rId17" Type="http://schemas.openxmlformats.org/officeDocument/2006/relationships/hyperlink" Target="#Runsheet!AC6"/><Relationship Id="rId25" Type="http://schemas.openxmlformats.org/officeDocument/2006/relationships/hyperlink" Target="#day_3!B1"/><Relationship Id="rId33" Type="http://schemas.openxmlformats.org/officeDocument/2006/relationships/hyperlink" Target="#day_11!B1"/><Relationship Id="rId38" Type="http://schemas.openxmlformats.org/officeDocument/2006/relationships/hyperlink" Target="#'z. Data_Formula_Legend'!A50"/><Relationship Id="rId46" Type="http://schemas.openxmlformats.org/officeDocument/2006/relationships/hyperlink" Target="#'z. Data_Formula_Legend'!B83"/><Relationship Id="rId20" Type="http://schemas.openxmlformats.org/officeDocument/2006/relationships/hyperlink" Target="#Runsheet!A1"/><Relationship Id="rId41" Type="http://schemas.openxmlformats.org/officeDocument/2006/relationships/hyperlink" Target="#'z. Data_Formula_Legend'!B118"/><Relationship Id="rId1" Type="http://schemas.openxmlformats.org/officeDocument/2006/relationships/hyperlink" Target="#'z. Data_Formula_Legend'!A32"/><Relationship Id="rId6" Type="http://schemas.openxmlformats.org/officeDocument/2006/relationships/hyperlink" Target="#'z. Data_Formula_Legend'!J4"/><Relationship Id="rId15" Type="http://schemas.openxmlformats.org/officeDocument/2006/relationships/hyperlink" Target="#Runsheet!AP6"/><Relationship Id="rId23" Type="http://schemas.openxmlformats.org/officeDocument/2006/relationships/hyperlink" Target="#'Guide Food List'!A1"/><Relationship Id="rId28" Type="http://schemas.openxmlformats.org/officeDocument/2006/relationships/hyperlink" Target="#day_6!B1"/><Relationship Id="rId36" Type="http://schemas.openxmlformats.org/officeDocument/2006/relationships/hyperlink" Target="#'z. Data_Formula_Legend'!A38"/><Relationship Id="rId49" Type="http://schemas.openxmlformats.org/officeDocument/2006/relationships/hyperlink" Target="#'z. Data_Formula_Legend'!B65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53341</xdr:colOff>
      <xdr:row>22</xdr:row>
      <xdr:rowOff>38102</xdr:rowOff>
    </xdr:from>
    <xdr:to>
      <xdr:col>11</xdr:col>
      <xdr:colOff>16921</xdr:colOff>
      <xdr:row>24</xdr:row>
      <xdr:rowOff>182880</xdr:rowOff>
    </xdr:to>
    <xdr:sp macro="" textlink="">
      <xdr:nvSpPr>
        <xdr:cNvPr id="160" name="Rectangle 15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/>
      </xdr:nvSpPr>
      <xdr:spPr>
        <a:xfrm>
          <a:off x="4831081" y="4838702"/>
          <a:ext cx="1800000" cy="60959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MENU BY DAY NO ALLERGY</a:t>
          </a:r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10</xdr:col>
      <xdr:colOff>1815240</xdr:colOff>
      <xdr:row>20</xdr:row>
      <xdr:rowOff>137160</xdr:rowOff>
    </xdr:to>
    <xdr:sp macro="" textlink="">
      <xdr:nvSpPr>
        <xdr:cNvPr id="152" name="Rectangle 1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>
        <a:xfrm>
          <a:off x="4777740" y="4183380"/>
          <a:ext cx="1815240" cy="289560"/>
        </a:xfrm>
        <a:prstGeom prst="rect">
          <a:avLst/>
        </a:prstGeom>
        <a:solidFill>
          <a:schemeClr val="accent3">
            <a:lumMod val="75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MENU</a:t>
          </a:r>
          <a:r>
            <a:rPr lang="en-US" sz="1400" b="0" i="0" baseline="0">
              <a:solidFill>
                <a:schemeClr val="bg1"/>
              </a:solidFill>
            </a:rPr>
            <a:t> NO NUTS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1815240</xdr:colOff>
      <xdr:row>18</xdr:row>
      <xdr:rowOff>76200</xdr:rowOff>
    </xdr:to>
    <xdr:sp macro="" textlink="">
      <xdr:nvSpPr>
        <xdr:cNvPr id="151" name="Rectangle 15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>
        <a:xfrm>
          <a:off x="4777740" y="3406140"/>
          <a:ext cx="1815240" cy="541020"/>
        </a:xfrm>
        <a:prstGeom prst="rect">
          <a:avLst/>
        </a:prstGeom>
        <a:solidFill>
          <a:schemeClr val="accent3">
            <a:lumMod val="75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MENU LACTOSE INTOLERANCE</a:t>
          </a:r>
        </a:p>
      </xdr:txBody>
    </xdr:sp>
    <xdr:clientData/>
  </xdr:twoCellAnchor>
  <xdr:twoCellAnchor>
    <xdr:from>
      <xdr:col>10</xdr:col>
      <xdr:colOff>0</xdr:colOff>
      <xdr:row>14</xdr:row>
      <xdr:rowOff>0</xdr:rowOff>
    </xdr:from>
    <xdr:to>
      <xdr:col>10</xdr:col>
      <xdr:colOff>1815240</xdr:colOff>
      <xdr:row>14</xdr:row>
      <xdr:rowOff>255515</xdr:rowOff>
    </xdr:to>
    <xdr:sp macro="" textlink="">
      <xdr:nvSpPr>
        <xdr:cNvPr id="150" name="Rectangle 14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>
        <a:xfrm>
          <a:off x="4777740" y="2941320"/>
          <a:ext cx="1815240" cy="255515"/>
        </a:xfrm>
        <a:prstGeom prst="rect">
          <a:avLst/>
        </a:prstGeom>
        <a:solidFill>
          <a:schemeClr val="accent3">
            <a:lumMod val="75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MENU</a:t>
          </a:r>
          <a:r>
            <a:rPr lang="en-US" sz="1400" b="0" i="0" baseline="0">
              <a:solidFill>
                <a:schemeClr val="bg1"/>
              </a:solidFill>
            </a:rPr>
            <a:t> CELIAC &amp; GF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10</xdr:col>
      <xdr:colOff>1815240</xdr:colOff>
      <xdr:row>12</xdr:row>
      <xdr:rowOff>255515</xdr:rowOff>
    </xdr:to>
    <xdr:sp macro="" textlink="">
      <xdr:nvSpPr>
        <xdr:cNvPr id="149" name="Rectangle 14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>
        <a:xfrm>
          <a:off x="4777740" y="2476500"/>
          <a:ext cx="1815240" cy="255515"/>
        </a:xfrm>
        <a:prstGeom prst="rect">
          <a:avLst/>
        </a:prstGeom>
        <a:solidFill>
          <a:schemeClr val="accent3">
            <a:lumMod val="75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MENU</a:t>
          </a:r>
          <a:r>
            <a:rPr lang="en-US" sz="1400" b="0" i="0" baseline="0">
              <a:solidFill>
                <a:schemeClr val="bg1"/>
              </a:solidFill>
            </a:rPr>
            <a:t> NO ALLERGY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10</xdr:col>
      <xdr:colOff>1815240</xdr:colOff>
      <xdr:row>10</xdr:row>
      <xdr:rowOff>255515</xdr:rowOff>
    </xdr:to>
    <xdr:sp macro="" textlink="">
      <xdr:nvSpPr>
        <xdr:cNvPr id="148" name="Rectangle 14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>
        <a:xfrm>
          <a:off x="4777740" y="2011680"/>
          <a:ext cx="1815240" cy="255515"/>
        </a:xfrm>
        <a:prstGeom prst="rect">
          <a:avLst/>
        </a:prstGeom>
        <a:solidFill>
          <a:schemeClr val="accent3">
            <a:lumMod val="75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GUIDE</a:t>
          </a:r>
          <a:r>
            <a:rPr lang="en-US" sz="1400" b="0" i="0" baseline="0">
              <a:solidFill>
                <a:schemeClr val="bg1"/>
              </a:solidFill>
            </a:rPr>
            <a:t> LIST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10</xdr:col>
      <xdr:colOff>1815240</xdr:colOff>
      <xdr:row>8</xdr:row>
      <xdr:rowOff>255515</xdr:rowOff>
    </xdr:to>
    <xdr:sp macro="" textlink="">
      <xdr:nvSpPr>
        <xdr:cNvPr id="147" name="Rectangle 14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>
        <a:xfrm>
          <a:off x="4777740" y="1546860"/>
          <a:ext cx="1815240" cy="255515"/>
        </a:xfrm>
        <a:prstGeom prst="rect">
          <a:avLst/>
        </a:prstGeom>
        <a:solidFill>
          <a:schemeClr val="accent3">
            <a:lumMod val="75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PARTICIPANT</a:t>
          </a:r>
          <a:r>
            <a:rPr lang="en-US" sz="1400" b="0" i="0" baseline="0">
              <a:solidFill>
                <a:schemeClr val="bg1"/>
              </a:solidFill>
            </a:rPr>
            <a:t> LIST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22860</xdr:colOff>
      <xdr:row>4</xdr:row>
      <xdr:rowOff>45719</xdr:rowOff>
    </xdr:from>
    <xdr:to>
      <xdr:col>11</xdr:col>
      <xdr:colOff>1680</xdr:colOff>
      <xdr:row>4</xdr:row>
      <xdr:rowOff>301234</xdr:rowOff>
    </xdr:to>
    <xdr:sp macro="" textlink="">
      <xdr:nvSpPr>
        <xdr:cNvPr id="11" name="Rectangle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800600" y="662939"/>
          <a:ext cx="1815240" cy="255515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DATA</a:t>
          </a:r>
        </a:p>
      </xdr:txBody>
    </xdr:sp>
    <xdr:clientData/>
  </xdr:twoCellAnchor>
  <xdr:twoCellAnchor>
    <xdr:from>
      <xdr:col>4</xdr:col>
      <xdr:colOff>53341</xdr:colOff>
      <xdr:row>28</xdr:row>
      <xdr:rowOff>38102</xdr:rowOff>
    </xdr:from>
    <xdr:to>
      <xdr:col>5</xdr:col>
      <xdr:colOff>16921</xdr:colOff>
      <xdr:row>28</xdr:row>
      <xdr:rowOff>280740</xdr:rowOff>
    </xdr:to>
    <xdr:sp macro="" textlink="">
      <xdr:nvSpPr>
        <xdr:cNvPr id="51" name="Rectangle 5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297181" y="5768342"/>
          <a:ext cx="1800000" cy="24263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12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53341</xdr:colOff>
      <xdr:row>26</xdr:row>
      <xdr:rowOff>38102</xdr:rowOff>
    </xdr:from>
    <xdr:to>
      <xdr:col>5</xdr:col>
      <xdr:colOff>16921</xdr:colOff>
      <xdr:row>26</xdr:row>
      <xdr:rowOff>280740</xdr:rowOff>
    </xdr:to>
    <xdr:sp macro="" textlink="">
      <xdr:nvSpPr>
        <xdr:cNvPr id="49" name="Rectangle 4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297181" y="5303522"/>
          <a:ext cx="1800000" cy="24263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11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53341</xdr:colOff>
      <xdr:row>24</xdr:row>
      <xdr:rowOff>38102</xdr:rowOff>
    </xdr:from>
    <xdr:to>
      <xdr:col>5</xdr:col>
      <xdr:colOff>16921</xdr:colOff>
      <xdr:row>24</xdr:row>
      <xdr:rowOff>280740</xdr:rowOff>
    </xdr:to>
    <xdr:sp macro="" textlink="">
      <xdr:nvSpPr>
        <xdr:cNvPr id="47" name="Rectangle 4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297181" y="4838702"/>
          <a:ext cx="1800000" cy="24263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10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53341</xdr:colOff>
      <xdr:row>22</xdr:row>
      <xdr:rowOff>38102</xdr:rowOff>
    </xdr:from>
    <xdr:to>
      <xdr:col>5</xdr:col>
      <xdr:colOff>16921</xdr:colOff>
      <xdr:row>22</xdr:row>
      <xdr:rowOff>280740</xdr:rowOff>
    </xdr:to>
    <xdr:sp macro="" textlink="">
      <xdr:nvSpPr>
        <xdr:cNvPr id="45" name="Rectangle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97181" y="4373882"/>
          <a:ext cx="1800000" cy="24263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9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53341</xdr:colOff>
      <xdr:row>20</xdr:row>
      <xdr:rowOff>38102</xdr:rowOff>
    </xdr:from>
    <xdr:to>
      <xdr:col>5</xdr:col>
      <xdr:colOff>16921</xdr:colOff>
      <xdr:row>20</xdr:row>
      <xdr:rowOff>280740</xdr:rowOff>
    </xdr:to>
    <xdr:sp macro="" textlink="">
      <xdr:nvSpPr>
        <xdr:cNvPr id="43" name="Rectangle 4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297181" y="3909062"/>
          <a:ext cx="1800000" cy="24263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8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53341</xdr:colOff>
      <xdr:row>18</xdr:row>
      <xdr:rowOff>38102</xdr:rowOff>
    </xdr:from>
    <xdr:to>
      <xdr:col>5</xdr:col>
      <xdr:colOff>16921</xdr:colOff>
      <xdr:row>18</xdr:row>
      <xdr:rowOff>280740</xdr:rowOff>
    </xdr:to>
    <xdr:sp macro="" textlink="">
      <xdr:nvSpPr>
        <xdr:cNvPr id="41" name="Rectangle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297181" y="3444242"/>
          <a:ext cx="1800000" cy="24263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7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53341</xdr:colOff>
      <xdr:row>16</xdr:row>
      <xdr:rowOff>38102</xdr:rowOff>
    </xdr:from>
    <xdr:to>
      <xdr:col>5</xdr:col>
      <xdr:colOff>16921</xdr:colOff>
      <xdr:row>16</xdr:row>
      <xdr:rowOff>280740</xdr:rowOff>
    </xdr:to>
    <xdr:sp macro="" textlink="">
      <xdr:nvSpPr>
        <xdr:cNvPr id="39" name="Rectangle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297181" y="3444242"/>
          <a:ext cx="1800000" cy="24263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6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53341</xdr:colOff>
      <xdr:row>14</xdr:row>
      <xdr:rowOff>38102</xdr:rowOff>
    </xdr:from>
    <xdr:to>
      <xdr:col>5</xdr:col>
      <xdr:colOff>16921</xdr:colOff>
      <xdr:row>14</xdr:row>
      <xdr:rowOff>280740</xdr:rowOff>
    </xdr:to>
    <xdr:sp macro="" textlink="">
      <xdr:nvSpPr>
        <xdr:cNvPr id="37" name="Rectangle 3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97181" y="2514602"/>
          <a:ext cx="1800000" cy="24263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5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53341</xdr:colOff>
      <xdr:row>12</xdr:row>
      <xdr:rowOff>38102</xdr:rowOff>
    </xdr:from>
    <xdr:to>
      <xdr:col>5</xdr:col>
      <xdr:colOff>16921</xdr:colOff>
      <xdr:row>12</xdr:row>
      <xdr:rowOff>280740</xdr:rowOff>
    </xdr:to>
    <xdr:sp macro="" textlink="">
      <xdr:nvSpPr>
        <xdr:cNvPr id="35" name="Rectangle 3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297181" y="2049782"/>
          <a:ext cx="1800000" cy="24263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4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53341</xdr:colOff>
      <xdr:row>10</xdr:row>
      <xdr:rowOff>38102</xdr:rowOff>
    </xdr:from>
    <xdr:to>
      <xdr:col>5</xdr:col>
      <xdr:colOff>16921</xdr:colOff>
      <xdr:row>10</xdr:row>
      <xdr:rowOff>280740</xdr:rowOff>
    </xdr:to>
    <xdr:sp macro="" textlink="">
      <xdr:nvSpPr>
        <xdr:cNvPr id="33" name="Rectangle 32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297181" y="1584962"/>
          <a:ext cx="1800000" cy="24263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3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53341</xdr:colOff>
      <xdr:row>8</xdr:row>
      <xdr:rowOff>38102</xdr:rowOff>
    </xdr:from>
    <xdr:to>
      <xdr:col>5</xdr:col>
      <xdr:colOff>16921</xdr:colOff>
      <xdr:row>8</xdr:row>
      <xdr:rowOff>280740</xdr:rowOff>
    </xdr:to>
    <xdr:sp macro="" textlink="">
      <xdr:nvSpPr>
        <xdr:cNvPr id="31" name="Rectangle 3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297181" y="1584962"/>
          <a:ext cx="1800000" cy="24263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2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38101</xdr:colOff>
      <xdr:row>4</xdr:row>
      <xdr:rowOff>30480</xdr:rowOff>
    </xdr:from>
    <xdr:to>
      <xdr:col>5</xdr:col>
      <xdr:colOff>1681</xdr:colOff>
      <xdr:row>7</xdr:row>
      <xdr:rowOff>542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377441" y="647700"/>
          <a:ext cx="1800000" cy="747302"/>
          <a:chOff x="297181" y="632459"/>
          <a:chExt cx="1800000" cy="701581"/>
        </a:xfrm>
        <a:solidFill>
          <a:srgbClr val="7C7C7C"/>
        </a:solidFill>
      </xdr:grpSpPr>
      <xdr:sp macro="" textlink="">
        <xdr:nvSpPr>
          <xdr:cNvPr id="3" name="Rectangle 2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297181" y="632459"/>
            <a:ext cx="1800000" cy="252000"/>
          </a:xfrm>
          <a:prstGeom prst="rect">
            <a:avLst/>
          </a:prstGeom>
          <a:grpFill/>
          <a:ln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i="0">
                <a:solidFill>
                  <a:schemeClr val="bg1"/>
                </a:solidFill>
              </a:rPr>
              <a:t>12</a:t>
            </a:r>
            <a:r>
              <a:rPr lang="en-US" sz="1400" b="0" i="0" baseline="0">
                <a:solidFill>
                  <a:schemeClr val="bg1"/>
                </a:solidFill>
              </a:rPr>
              <a:t> DAY RUNSHEET</a:t>
            </a:r>
            <a:endParaRPr lang="en-US" sz="1400" b="0" i="0">
              <a:solidFill>
                <a:schemeClr val="bg1"/>
              </a:solidFill>
            </a:endParaRPr>
          </a:p>
        </xdr:txBody>
      </xdr:sp>
      <xdr:sp macro="" textlink="">
        <xdr:nvSpPr>
          <xdr:cNvPr id="4" name="Rectangle 3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297181" y="1082040"/>
            <a:ext cx="1800000" cy="252000"/>
          </a:xfrm>
          <a:prstGeom prst="rect">
            <a:avLst/>
          </a:prstGeom>
          <a:grpFill/>
          <a:ln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i="0">
                <a:solidFill>
                  <a:schemeClr val="bg1"/>
                </a:solidFill>
              </a:rPr>
              <a:t>DAY</a:t>
            </a:r>
            <a:r>
              <a:rPr lang="en-US" sz="1400" b="0" i="0" baseline="0">
                <a:solidFill>
                  <a:schemeClr val="bg1"/>
                </a:solidFill>
              </a:rPr>
              <a:t> 1 RUNSHEET</a:t>
            </a:r>
            <a:endParaRPr lang="en-US" sz="1400" b="0" i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23700</xdr:colOff>
      <xdr:row>4</xdr:row>
      <xdr:rowOff>38100</xdr:rowOff>
    </xdr:from>
    <xdr:to>
      <xdr:col>14</xdr:col>
      <xdr:colOff>2520</xdr:colOff>
      <xdr:row>6</xdr:row>
      <xdr:rowOff>295861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9114360" y="655320"/>
          <a:ext cx="1815240" cy="722581"/>
          <a:chOff x="6919800" y="655320"/>
          <a:chExt cx="1800000" cy="718344"/>
        </a:xfrm>
        <a:solidFill>
          <a:schemeClr val="accent3">
            <a:lumMod val="50000"/>
          </a:schemeClr>
        </a:solidFill>
      </xdr:grpSpPr>
      <xdr:sp macro="" textlink="">
        <xdr:nvSpPr>
          <xdr:cNvPr id="19" name="Rectangle 18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6919800" y="655320"/>
            <a:ext cx="1800000" cy="252000"/>
          </a:xfrm>
          <a:prstGeom prst="rect">
            <a:avLst/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i="0">
                <a:solidFill>
                  <a:schemeClr val="bg1"/>
                </a:solidFill>
              </a:rPr>
              <a:t>FOOD</a:t>
            </a:r>
            <a:r>
              <a:rPr lang="en-US" sz="1400" b="0" i="0" baseline="0">
                <a:solidFill>
                  <a:schemeClr val="bg1"/>
                </a:solidFill>
              </a:rPr>
              <a:t> SERVES</a:t>
            </a:r>
            <a:endParaRPr lang="en-US" sz="1400" b="0" i="0">
              <a:solidFill>
                <a:schemeClr val="bg1"/>
              </a:solidFill>
            </a:endParaRPr>
          </a:p>
        </xdr:txBody>
      </xdr:sp>
      <xdr:sp macro="" textlink="">
        <xdr:nvSpPr>
          <xdr:cNvPr id="20" name="Rectangle 19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6919800" y="1121664"/>
            <a:ext cx="1800000" cy="252000"/>
          </a:xfrm>
          <a:prstGeom prst="rect">
            <a:avLst/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i="0">
                <a:solidFill>
                  <a:schemeClr val="bg1"/>
                </a:solidFill>
              </a:rPr>
              <a:t>GUIDE</a:t>
            </a:r>
            <a:r>
              <a:rPr lang="en-US" sz="1400" b="0" i="0" baseline="0">
                <a:solidFill>
                  <a:schemeClr val="bg1"/>
                </a:solidFill>
              </a:rPr>
              <a:t> FOOD LIST</a:t>
            </a:r>
            <a:endParaRPr lang="en-US" sz="1400" b="0" i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7</xdr:col>
      <xdr:colOff>53341</xdr:colOff>
      <xdr:row>6</xdr:row>
      <xdr:rowOff>38102</xdr:rowOff>
    </xdr:from>
    <xdr:to>
      <xdr:col>8</xdr:col>
      <xdr:colOff>16921</xdr:colOff>
      <xdr:row>6</xdr:row>
      <xdr:rowOff>280740</xdr:rowOff>
    </xdr:to>
    <xdr:sp macro="" textlink="">
      <xdr:nvSpPr>
        <xdr:cNvPr id="117" name="Rectangle 11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>
        <a:xfrm>
          <a:off x="297181" y="1584962"/>
          <a:ext cx="180000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2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53341</xdr:colOff>
      <xdr:row>6</xdr:row>
      <xdr:rowOff>38102</xdr:rowOff>
    </xdr:from>
    <xdr:to>
      <xdr:col>8</xdr:col>
      <xdr:colOff>16921</xdr:colOff>
      <xdr:row>6</xdr:row>
      <xdr:rowOff>280740</xdr:rowOff>
    </xdr:to>
    <xdr:sp macro="" textlink="">
      <xdr:nvSpPr>
        <xdr:cNvPr id="118" name="Rectangle 11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>
        <a:xfrm>
          <a:off x="297181" y="1584962"/>
          <a:ext cx="180000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2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53341</xdr:colOff>
      <xdr:row>8</xdr:row>
      <xdr:rowOff>38102</xdr:rowOff>
    </xdr:from>
    <xdr:to>
      <xdr:col>8</xdr:col>
      <xdr:colOff>16921</xdr:colOff>
      <xdr:row>8</xdr:row>
      <xdr:rowOff>280740</xdr:rowOff>
    </xdr:to>
    <xdr:sp macro="" textlink="">
      <xdr:nvSpPr>
        <xdr:cNvPr id="119" name="Rectangle 11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>
          <a:off x="297181" y="2049782"/>
          <a:ext cx="180000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2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53341</xdr:colOff>
      <xdr:row>8</xdr:row>
      <xdr:rowOff>38102</xdr:rowOff>
    </xdr:from>
    <xdr:to>
      <xdr:col>8</xdr:col>
      <xdr:colOff>16921</xdr:colOff>
      <xdr:row>8</xdr:row>
      <xdr:rowOff>280740</xdr:rowOff>
    </xdr:to>
    <xdr:sp macro="" textlink="">
      <xdr:nvSpPr>
        <xdr:cNvPr id="120" name="Rectangle 119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>
        <a:xfrm>
          <a:off x="297181" y="2049782"/>
          <a:ext cx="180000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3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53341</xdr:colOff>
      <xdr:row>10</xdr:row>
      <xdr:rowOff>38102</xdr:rowOff>
    </xdr:from>
    <xdr:to>
      <xdr:col>8</xdr:col>
      <xdr:colOff>16921</xdr:colOff>
      <xdr:row>10</xdr:row>
      <xdr:rowOff>280740</xdr:rowOff>
    </xdr:to>
    <xdr:sp macro="" textlink="">
      <xdr:nvSpPr>
        <xdr:cNvPr id="121" name="Rectangle 12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>
        <a:xfrm>
          <a:off x="297181" y="2514602"/>
          <a:ext cx="180000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2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53341</xdr:colOff>
      <xdr:row>10</xdr:row>
      <xdr:rowOff>38102</xdr:rowOff>
    </xdr:from>
    <xdr:to>
      <xdr:col>8</xdr:col>
      <xdr:colOff>16921</xdr:colOff>
      <xdr:row>10</xdr:row>
      <xdr:rowOff>280740</xdr:rowOff>
    </xdr:to>
    <xdr:sp macro="" textlink="">
      <xdr:nvSpPr>
        <xdr:cNvPr id="122" name="Rectangle 121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>
        <a:xfrm>
          <a:off x="297181" y="2514602"/>
          <a:ext cx="180000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4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53341</xdr:colOff>
      <xdr:row>12</xdr:row>
      <xdr:rowOff>38102</xdr:rowOff>
    </xdr:from>
    <xdr:to>
      <xdr:col>8</xdr:col>
      <xdr:colOff>16921</xdr:colOff>
      <xdr:row>12</xdr:row>
      <xdr:rowOff>280740</xdr:rowOff>
    </xdr:to>
    <xdr:sp macro="" textlink="">
      <xdr:nvSpPr>
        <xdr:cNvPr id="123" name="Rectangle 12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>
        <a:xfrm>
          <a:off x="297181" y="2979422"/>
          <a:ext cx="180000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2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53341</xdr:colOff>
      <xdr:row>12</xdr:row>
      <xdr:rowOff>38102</xdr:rowOff>
    </xdr:from>
    <xdr:to>
      <xdr:col>8</xdr:col>
      <xdr:colOff>16921</xdr:colOff>
      <xdr:row>12</xdr:row>
      <xdr:rowOff>280740</xdr:rowOff>
    </xdr:to>
    <xdr:sp macro="" textlink="">
      <xdr:nvSpPr>
        <xdr:cNvPr id="124" name="Rectangle 123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>
        <a:xfrm>
          <a:off x="297181" y="2979422"/>
          <a:ext cx="180000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5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53341</xdr:colOff>
      <xdr:row>14</xdr:row>
      <xdr:rowOff>38102</xdr:rowOff>
    </xdr:from>
    <xdr:to>
      <xdr:col>8</xdr:col>
      <xdr:colOff>16921</xdr:colOff>
      <xdr:row>14</xdr:row>
      <xdr:rowOff>280740</xdr:rowOff>
    </xdr:to>
    <xdr:sp macro="" textlink="">
      <xdr:nvSpPr>
        <xdr:cNvPr id="125" name="Rectangle 12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>
        <a:xfrm>
          <a:off x="297181" y="3444242"/>
          <a:ext cx="180000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2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53341</xdr:colOff>
      <xdr:row>14</xdr:row>
      <xdr:rowOff>38102</xdr:rowOff>
    </xdr:from>
    <xdr:to>
      <xdr:col>8</xdr:col>
      <xdr:colOff>16921</xdr:colOff>
      <xdr:row>14</xdr:row>
      <xdr:rowOff>280740</xdr:rowOff>
    </xdr:to>
    <xdr:sp macro="" textlink="">
      <xdr:nvSpPr>
        <xdr:cNvPr id="126" name="Rectangle 125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>
        <a:xfrm>
          <a:off x="297181" y="3444242"/>
          <a:ext cx="180000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6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53341</xdr:colOff>
      <xdr:row>16</xdr:row>
      <xdr:rowOff>38102</xdr:rowOff>
    </xdr:from>
    <xdr:to>
      <xdr:col>8</xdr:col>
      <xdr:colOff>16921</xdr:colOff>
      <xdr:row>16</xdr:row>
      <xdr:rowOff>280740</xdr:rowOff>
    </xdr:to>
    <xdr:sp macro="" textlink="">
      <xdr:nvSpPr>
        <xdr:cNvPr id="127" name="Rectangle 1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>
        <a:xfrm>
          <a:off x="297181" y="3909062"/>
          <a:ext cx="180000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2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53341</xdr:colOff>
      <xdr:row>16</xdr:row>
      <xdr:rowOff>38102</xdr:rowOff>
    </xdr:from>
    <xdr:to>
      <xdr:col>8</xdr:col>
      <xdr:colOff>16921</xdr:colOff>
      <xdr:row>16</xdr:row>
      <xdr:rowOff>280740</xdr:rowOff>
    </xdr:to>
    <xdr:sp macro="" textlink="">
      <xdr:nvSpPr>
        <xdr:cNvPr id="128" name="Rectangle 127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>
        <a:xfrm>
          <a:off x="297181" y="3909062"/>
          <a:ext cx="180000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7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53341</xdr:colOff>
      <xdr:row>18</xdr:row>
      <xdr:rowOff>38102</xdr:rowOff>
    </xdr:from>
    <xdr:to>
      <xdr:col>8</xdr:col>
      <xdr:colOff>16921</xdr:colOff>
      <xdr:row>18</xdr:row>
      <xdr:rowOff>280740</xdr:rowOff>
    </xdr:to>
    <xdr:sp macro="" textlink="">
      <xdr:nvSpPr>
        <xdr:cNvPr id="129" name="Rectangle 1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>
        <a:xfrm>
          <a:off x="297181" y="4373882"/>
          <a:ext cx="180000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2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53341</xdr:colOff>
      <xdr:row>18</xdr:row>
      <xdr:rowOff>38102</xdr:rowOff>
    </xdr:from>
    <xdr:to>
      <xdr:col>8</xdr:col>
      <xdr:colOff>16921</xdr:colOff>
      <xdr:row>18</xdr:row>
      <xdr:rowOff>280740</xdr:rowOff>
    </xdr:to>
    <xdr:sp macro="" textlink="">
      <xdr:nvSpPr>
        <xdr:cNvPr id="130" name="Rectangle 129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>
        <a:xfrm>
          <a:off x="297181" y="4373882"/>
          <a:ext cx="180000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8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53341</xdr:colOff>
      <xdr:row>20</xdr:row>
      <xdr:rowOff>38102</xdr:rowOff>
    </xdr:from>
    <xdr:to>
      <xdr:col>8</xdr:col>
      <xdr:colOff>16921</xdr:colOff>
      <xdr:row>20</xdr:row>
      <xdr:rowOff>280740</xdr:rowOff>
    </xdr:to>
    <xdr:sp macro="" textlink="">
      <xdr:nvSpPr>
        <xdr:cNvPr id="131" name="Rectangle 13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>
        <a:xfrm>
          <a:off x="297181" y="4838702"/>
          <a:ext cx="180000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2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53341</xdr:colOff>
      <xdr:row>20</xdr:row>
      <xdr:rowOff>38102</xdr:rowOff>
    </xdr:from>
    <xdr:to>
      <xdr:col>8</xdr:col>
      <xdr:colOff>16921</xdr:colOff>
      <xdr:row>20</xdr:row>
      <xdr:rowOff>280740</xdr:rowOff>
    </xdr:to>
    <xdr:sp macro="" textlink="">
      <xdr:nvSpPr>
        <xdr:cNvPr id="132" name="Rectangle 131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297181" y="4838702"/>
          <a:ext cx="180000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9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53341</xdr:colOff>
      <xdr:row>22</xdr:row>
      <xdr:rowOff>38102</xdr:rowOff>
    </xdr:from>
    <xdr:to>
      <xdr:col>8</xdr:col>
      <xdr:colOff>16921</xdr:colOff>
      <xdr:row>22</xdr:row>
      <xdr:rowOff>280740</xdr:rowOff>
    </xdr:to>
    <xdr:sp macro="" textlink="">
      <xdr:nvSpPr>
        <xdr:cNvPr id="133" name="Rectangle 13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297181" y="5303522"/>
          <a:ext cx="180000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2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53341</xdr:colOff>
      <xdr:row>22</xdr:row>
      <xdr:rowOff>38102</xdr:rowOff>
    </xdr:from>
    <xdr:to>
      <xdr:col>8</xdr:col>
      <xdr:colOff>16921</xdr:colOff>
      <xdr:row>22</xdr:row>
      <xdr:rowOff>280740</xdr:rowOff>
    </xdr:to>
    <xdr:sp macro="" textlink="">
      <xdr:nvSpPr>
        <xdr:cNvPr id="134" name="Rectangle 133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297181" y="5303522"/>
          <a:ext cx="180000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10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53341</xdr:colOff>
      <xdr:row>24</xdr:row>
      <xdr:rowOff>38102</xdr:rowOff>
    </xdr:from>
    <xdr:to>
      <xdr:col>8</xdr:col>
      <xdr:colOff>16921</xdr:colOff>
      <xdr:row>24</xdr:row>
      <xdr:rowOff>280740</xdr:rowOff>
    </xdr:to>
    <xdr:sp macro="" textlink="">
      <xdr:nvSpPr>
        <xdr:cNvPr id="135" name="Rectangle 13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>
        <a:xfrm>
          <a:off x="297181" y="5768342"/>
          <a:ext cx="180000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2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53341</xdr:colOff>
      <xdr:row>24</xdr:row>
      <xdr:rowOff>38102</xdr:rowOff>
    </xdr:from>
    <xdr:to>
      <xdr:col>8</xdr:col>
      <xdr:colOff>16921</xdr:colOff>
      <xdr:row>24</xdr:row>
      <xdr:rowOff>280740</xdr:rowOff>
    </xdr:to>
    <xdr:sp macro="" textlink="">
      <xdr:nvSpPr>
        <xdr:cNvPr id="136" name="Rectangle 135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>
        <a:xfrm>
          <a:off x="297181" y="5768342"/>
          <a:ext cx="180000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11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53341</xdr:colOff>
      <xdr:row>26</xdr:row>
      <xdr:rowOff>38102</xdr:rowOff>
    </xdr:from>
    <xdr:to>
      <xdr:col>8</xdr:col>
      <xdr:colOff>16921</xdr:colOff>
      <xdr:row>26</xdr:row>
      <xdr:rowOff>280740</xdr:rowOff>
    </xdr:to>
    <xdr:sp macro="" textlink="">
      <xdr:nvSpPr>
        <xdr:cNvPr id="137" name="Rectangle 13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>
        <a:xfrm>
          <a:off x="297181" y="6233162"/>
          <a:ext cx="180000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2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53341</xdr:colOff>
      <xdr:row>26</xdr:row>
      <xdr:rowOff>38102</xdr:rowOff>
    </xdr:from>
    <xdr:to>
      <xdr:col>8</xdr:col>
      <xdr:colOff>16921</xdr:colOff>
      <xdr:row>26</xdr:row>
      <xdr:rowOff>280740</xdr:rowOff>
    </xdr:to>
    <xdr:sp macro="" textlink="">
      <xdr:nvSpPr>
        <xdr:cNvPr id="138" name="Rectangle 137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>
        <a:xfrm>
          <a:off x="297181" y="6233162"/>
          <a:ext cx="180000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12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7</xdr:col>
      <xdr:colOff>1899060</xdr:colOff>
      <xdr:row>4</xdr:row>
      <xdr:rowOff>242638</xdr:rowOff>
    </xdr:to>
    <xdr:sp macro="" textlink="">
      <xdr:nvSpPr>
        <xdr:cNvPr id="140" name="Rectangle 139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>
        <a:xfrm>
          <a:off x="2461260" y="617220"/>
          <a:ext cx="189906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1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53341</xdr:colOff>
      <xdr:row>26</xdr:row>
      <xdr:rowOff>38102</xdr:rowOff>
    </xdr:from>
    <xdr:to>
      <xdr:col>11</xdr:col>
      <xdr:colOff>16921</xdr:colOff>
      <xdr:row>28</xdr:row>
      <xdr:rowOff>182880</xdr:rowOff>
    </xdr:to>
    <xdr:sp macro="" textlink="">
      <xdr:nvSpPr>
        <xdr:cNvPr id="165" name="Rectangle 164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4831081" y="4838702"/>
          <a:ext cx="1800000" cy="60959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MENU BY DAY CELIAC &amp; GLUTEN FREE</a:t>
          </a:r>
        </a:p>
      </xdr:txBody>
    </xdr:sp>
    <xdr:clientData/>
  </xdr:twoCellAnchor>
  <xdr:twoCellAnchor>
    <xdr:from>
      <xdr:col>10</xdr:col>
      <xdr:colOff>53341</xdr:colOff>
      <xdr:row>30</xdr:row>
      <xdr:rowOff>38102</xdr:rowOff>
    </xdr:from>
    <xdr:to>
      <xdr:col>11</xdr:col>
      <xdr:colOff>16921</xdr:colOff>
      <xdr:row>33</xdr:row>
      <xdr:rowOff>15240</xdr:rowOff>
    </xdr:to>
    <xdr:sp macro="" textlink="">
      <xdr:nvSpPr>
        <xdr:cNvPr id="166" name="Rectangle 16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/>
      </xdr:nvSpPr>
      <xdr:spPr>
        <a:xfrm>
          <a:off x="4831081" y="6697982"/>
          <a:ext cx="1800000" cy="79247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MENU BY DAY CELIAC &amp; GLUTEN FREE LACTOSE INTOLERANT</a:t>
          </a:r>
        </a:p>
      </xdr:txBody>
    </xdr:sp>
    <xdr:clientData/>
  </xdr:twoCellAnchor>
  <xdr:twoCellAnchor>
    <xdr:from>
      <xdr:col>10</xdr:col>
      <xdr:colOff>53341</xdr:colOff>
      <xdr:row>33</xdr:row>
      <xdr:rowOff>213360</xdr:rowOff>
    </xdr:from>
    <xdr:to>
      <xdr:col>11</xdr:col>
      <xdr:colOff>16921</xdr:colOff>
      <xdr:row>35</xdr:row>
      <xdr:rowOff>243840</xdr:rowOff>
    </xdr:to>
    <xdr:sp macro="" textlink="">
      <xdr:nvSpPr>
        <xdr:cNvPr id="168" name="Rectangle 167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4831081" y="7688580"/>
          <a:ext cx="1800000" cy="533400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MENU BY DAY NO NUTS</a:t>
          </a:r>
        </a:p>
      </xdr:txBody>
    </xdr:sp>
    <xdr:clientData/>
  </xdr:twoCellAnchor>
  <xdr:twoCellAnchor>
    <xdr:from>
      <xdr:col>10</xdr:col>
      <xdr:colOff>53341</xdr:colOff>
      <xdr:row>59</xdr:row>
      <xdr:rowOff>38102</xdr:rowOff>
    </xdr:from>
    <xdr:to>
      <xdr:col>11</xdr:col>
      <xdr:colOff>16921</xdr:colOff>
      <xdr:row>59</xdr:row>
      <xdr:rowOff>250260</xdr:rowOff>
    </xdr:to>
    <xdr:sp macro="" textlink="">
      <xdr:nvSpPr>
        <xdr:cNvPr id="194" name="Rectangle 193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SpPr/>
      </xdr:nvSpPr>
      <xdr:spPr>
        <a:xfrm>
          <a:off x="6926581" y="14577062"/>
          <a:ext cx="1800000" cy="21215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12 ACCOMM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53341</xdr:colOff>
      <xdr:row>57</xdr:row>
      <xdr:rowOff>38102</xdr:rowOff>
    </xdr:from>
    <xdr:to>
      <xdr:col>11</xdr:col>
      <xdr:colOff>16921</xdr:colOff>
      <xdr:row>57</xdr:row>
      <xdr:rowOff>250260</xdr:rowOff>
    </xdr:to>
    <xdr:sp macro="" textlink="">
      <xdr:nvSpPr>
        <xdr:cNvPr id="195" name="Rectangle 194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6926581" y="14074142"/>
          <a:ext cx="1800000" cy="21215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11 ACCOMM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53341</xdr:colOff>
      <xdr:row>55</xdr:row>
      <xdr:rowOff>38102</xdr:rowOff>
    </xdr:from>
    <xdr:to>
      <xdr:col>11</xdr:col>
      <xdr:colOff>16921</xdr:colOff>
      <xdr:row>55</xdr:row>
      <xdr:rowOff>250260</xdr:rowOff>
    </xdr:to>
    <xdr:sp macro="" textlink="">
      <xdr:nvSpPr>
        <xdr:cNvPr id="196" name="Rectangle 195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SpPr/>
      </xdr:nvSpPr>
      <xdr:spPr>
        <a:xfrm>
          <a:off x="6926581" y="13571222"/>
          <a:ext cx="1800000" cy="21215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10 ACCOMM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53341</xdr:colOff>
      <xdr:row>53</xdr:row>
      <xdr:rowOff>38102</xdr:rowOff>
    </xdr:from>
    <xdr:to>
      <xdr:col>11</xdr:col>
      <xdr:colOff>16921</xdr:colOff>
      <xdr:row>53</xdr:row>
      <xdr:rowOff>250260</xdr:rowOff>
    </xdr:to>
    <xdr:sp macro="" textlink="">
      <xdr:nvSpPr>
        <xdr:cNvPr id="197" name="Rectangle 196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/>
      </xdr:nvSpPr>
      <xdr:spPr>
        <a:xfrm>
          <a:off x="6926581" y="13068302"/>
          <a:ext cx="1800000" cy="21215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9 ACCOMM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53341</xdr:colOff>
      <xdr:row>51</xdr:row>
      <xdr:rowOff>38102</xdr:rowOff>
    </xdr:from>
    <xdr:to>
      <xdr:col>11</xdr:col>
      <xdr:colOff>16921</xdr:colOff>
      <xdr:row>51</xdr:row>
      <xdr:rowOff>250260</xdr:rowOff>
    </xdr:to>
    <xdr:sp macro="" textlink="">
      <xdr:nvSpPr>
        <xdr:cNvPr id="198" name="Rectangle 197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6926581" y="12565382"/>
          <a:ext cx="1800000" cy="21215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8 ACCOMM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53341</xdr:colOff>
      <xdr:row>49</xdr:row>
      <xdr:rowOff>38102</xdr:rowOff>
    </xdr:from>
    <xdr:to>
      <xdr:col>11</xdr:col>
      <xdr:colOff>16921</xdr:colOff>
      <xdr:row>49</xdr:row>
      <xdr:rowOff>250260</xdr:rowOff>
    </xdr:to>
    <xdr:sp macro="" textlink="">
      <xdr:nvSpPr>
        <xdr:cNvPr id="199" name="Rectangle 198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SpPr/>
      </xdr:nvSpPr>
      <xdr:spPr>
        <a:xfrm>
          <a:off x="6926581" y="12062462"/>
          <a:ext cx="1800000" cy="21215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7 ACCOMM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53341</xdr:colOff>
      <xdr:row>47</xdr:row>
      <xdr:rowOff>38102</xdr:rowOff>
    </xdr:from>
    <xdr:to>
      <xdr:col>11</xdr:col>
      <xdr:colOff>16921</xdr:colOff>
      <xdr:row>47</xdr:row>
      <xdr:rowOff>250260</xdr:rowOff>
    </xdr:to>
    <xdr:sp macro="" textlink="">
      <xdr:nvSpPr>
        <xdr:cNvPr id="200" name="Rectangle 199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/>
      </xdr:nvSpPr>
      <xdr:spPr>
        <a:xfrm>
          <a:off x="6926581" y="11559542"/>
          <a:ext cx="1800000" cy="21215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6 ACCOMM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53341</xdr:colOff>
      <xdr:row>45</xdr:row>
      <xdr:rowOff>38102</xdr:rowOff>
    </xdr:from>
    <xdr:to>
      <xdr:col>11</xdr:col>
      <xdr:colOff>16921</xdr:colOff>
      <xdr:row>45</xdr:row>
      <xdr:rowOff>250260</xdr:rowOff>
    </xdr:to>
    <xdr:sp macro="" textlink="">
      <xdr:nvSpPr>
        <xdr:cNvPr id="201" name="Rectangle 200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6926581" y="11056622"/>
          <a:ext cx="1800000" cy="21215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5 ACCOMM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53341</xdr:colOff>
      <xdr:row>43</xdr:row>
      <xdr:rowOff>38102</xdr:rowOff>
    </xdr:from>
    <xdr:to>
      <xdr:col>11</xdr:col>
      <xdr:colOff>16921</xdr:colOff>
      <xdr:row>43</xdr:row>
      <xdr:rowOff>250260</xdr:rowOff>
    </xdr:to>
    <xdr:sp macro="" textlink="">
      <xdr:nvSpPr>
        <xdr:cNvPr id="202" name="Rectangle 201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/>
      </xdr:nvSpPr>
      <xdr:spPr>
        <a:xfrm>
          <a:off x="6926581" y="10553702"/>
          <a:ext cx="1800000" cy="21215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4 ACCOMM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53341</xdr:colOff>
      <xdr:row>41</xdr:row>
      <xdr:rowOff>38102</xdr:rowOff>
    </xdr:from>
    <xdr:to>
      <xdr:col>11</xdr:col>
      <xdr:colOff>16921</xdr:colOff>
      <xdr:row>41</xdr:row>
      <xdr:rowOff>250260</xdr:rowOff>
    </xdr:to>
    <xdr:sp macro="" textlink="">
      <xdr:nvSpPr>
        <xdr:cNvPr id="203" name="Rectangle 202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SpPr/>
      </xdr:nvSpPr>
      <xdr:spPr>
        <a:xfrm>
          <a:off x="6926581" y="10050782"/>
          <a:ext cx="1800000" cy="21215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3 ACCOMM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53341</xdr:colOff>
      <xdr:row>39</xdr:row>
      <xdr:rowOff>38102</xdr:rowOff>
    </xdr:from>
    <xdr:to>
      <xdr:col>11</xdr:col>
      <xdr:colOff>16921</xdr:colOff>
      <xdr:row>39</xdr:row>
      <xdr:rowOff>280740</xdr:rowOff>
    </xdr:to>
    <xdr:sp macro="" textlink="">
      <xdr:nvSpPr>
        <xdr:cNvPr id="204" name="Rectangle 203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SpPr/>
      </xdr:nvSpPr>
      <xdr:spPr>
        <a:xfrm>
          <a:off x="6926581" y="9273542"/>
          <a:ext cx="1800000" cy="24263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2 ACCOMM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0</xdr:colOff>
      <xdr:row>37</xdr:row>
      <xdr:rowOff>0</xdr:rowOff>
    </xdr:from>
    <xdr:to>
      <xdr:col>10</xdr:col>
      <xdr:colOff>1800000</xdr:colOff>
      <xdr:row>37</xdr:row>
      <xdr:rowOff>242638</xdr:rowOff>
    </xdr:to>
    <xdr:sp macro="" textlink="">
      <xdr:nvSpPr>
        <xdr:cNvPr id="205" name="Rectangle 204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SpPr/>
      </xdr:nvSpPr>
      <xdr:spPr>
        <a:xfrm>
          <a:off x="6873240" y="8732520"/>
          <a:ext cx="1800000" cy="24263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1 ACCOMM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26</xdr:row>
      <xdr:rowOff>38102</xdr:rowOff>
    </xdr:from>
    <xdr:to>
      <xdr:col>18</xdr:col>
      <xdr:colOff>16921</xdr:colOff>
      <xdr:row>26</xdr:row>
      <xdr:rowOff>280740</xdr:rowOff>
    </xdr:to>
    <xdr:sp macro="" textlink="">
      <xdr:nvSpPr>
        <xdr:cNvPr id="206" name="Rectangle 205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SpPr/>
      </xdr:nvSpPr>
      <xdr:spPr>
        <a:xfrm>
          <a:off x="4831081" y="14051282"/>
          <a:ext cx="1800000" cy="21215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:12 ACCOM DATA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24</xdr:row>
      <xdr:rowOff>38102</xdr:rowOff>
    </xdr:from>
    <xdr:to>
      <xdr:col>18</xdr:col>
      <xdr:colOff>16921</xdr:colOff>
      <xdr:row>24</xdr:row>
      <xdr:rowOff>280740</xdr:rowOff>
    </xdr:to>
    <xdr:sp macro="" textlink="">
      <xdr:nvSpPr>
        <xdr:cNvPr id="207" name="Rectangle 206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SpPr/>
      </xdr:nvSpPr>
      <xdr:spPr>
        <a:xfrm>
          <a:off x="4831081" y="13548362"/>
          <a:ext cx="1800000" cy="21215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:11 ACCOM DATA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22</xdr:row>
      <xdr:rowOff>38102</xdr:rowOff>
    </xdr:from>
    <xdr:to>
      <xdr:col>18</xdr:col>
      <xdr:colOff>16921</xdr:colOff>
      <xdr:row>22</xdr:row>
      <xdr:rowOff>280740</xdr:rowOff>
    </xdr:to>
    <xdr:sp macro="" textlink="">
      <xdr:nvSpPr>
        <xdr:cNvPr id="208" name="Rectangle 207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SpPr/>
      </xdr:nvSpPr>
      <xdr:spPr>
        <a:xfrm>
          <a:off x="4831081" y="13045442"/>
          <a:ext cx="1800000" cy="21215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:10 ACCOM DATA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20</xdr:row>
      <xdr:rowOff>38102</xdr:rowOff>
    </xdr:from>
    <xdr:to>
      <xdr:col>18</xdr:col>
      <xdr:colOff>16921</xdr:colOff>
      <xdr:row>20</xdr:row>
      <xdr:rowOff>280740</xdr:rowOff>
    </xdr:to>
    <xdr:sp macro="" textlink="">
      <xdr:nvSpPr>
        <xdr:cNvPr id="209" name="Rectangle 208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SpPr/>
      </xdr:nvSpPr>
      <xdr:spPr>
        <a:xfrm>
          <a:off x="4831081" y="12542522"/>
          <a:ext cx="1800000" cy="21215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:9 ACCOM DATA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18</xdr:row>
      <xdr:rowOff>38102</xdr:rowOff>
    </xdr:from>
    <xdr:to>
      <xdr:col>18</xdr:col>
      <xdr:colOff>16921</xdr:colOff>
      <xdr:row>18</xdr:row>
      <xdr:rowOff>280740</xdr:rowOff>
    </xdr:to>
    <xdr:sp macro="" textlink="">
      <xdr:nvSpPr>
        <xdr:cNvPr id="210" name="Rectangle 209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SpPr/>
      </xdr:nvSpPr>
      <xdr:spPr>
        <a:xfrm>
          <a:off x="4831081" y="12039602"/>
          <a:ext cx="1800000" cy="21215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:8 ACCOM DATA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16</xdr:row>
      <xdr:rowOff>38102</xdr:rowOff>
    </xdr:from>
    <xdr:to>
      <xdr:col>18</xdr:col>
      <xdr:colOff>16921</xdr:colOff>
      <xdr:row>16</xdr:row>
      <xdr:rowOff>280740</xdr:rowOff>
    </xdr:to>
    <xdr:sp macro="" textlink="">
      <xdr:nvSpPr>
        <xdr:cNvPr id="211" name="Rectangle 210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SpPr/>
      </xdr:nvSpPr>
      <xdr:spPr>
        <a:xfrm>
          <a:off x="4831081" y="11536682"/>
          <a:ext cx="1800000" cy="21215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:7 ACCOM DATA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14</xdr:row>
      <xdr:rowOff>38102</xdr:rowOff>
    </xdr:from>
    <xdr:to>
      <xdr:col>18</xdr:col>
      <xdr:colOff>16921</xdr:colOff>
      <xdr:row>14</xdr:row>
      <xdr:rowOff>280740</xdr:rowOff>
    </xdr:to>
    <xdr:sp macro="" textlink="">
      <xdr:nvSpPr>
        <xdr:cNvPr id="212" name="Rectangle 211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SpPr/>
      </xdr:nvSpPr>
      <xdr:spPr>
        <a:xfrm>
          <a:off x="4831081" y="11033762"/>
          <a:ext cx="1800000" cy="21215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:6 ACCOM DATA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12</xdr:row>
      <xdr:rowOff>38102</xdr:rowOff>
    </xdr:from>
    <xdr:to>
      <xdr:col>18</xdr:col>
      <xdr:colOff>16921</xdr:colOff>
      <xdr:row>12</xdr:row>
      <xdr:rowOff>280740</xdr:rowOff>
    </xdr:to>
    <xdr:sp macro="" textlink="">
      <xdr:nvSpPr>
        <xdr:cNvPr id="213" name="Rectangle 212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SpPr/>
      </xdr:nvSpPr>
      <xdr:spPr>
        <a:xfrm>
          <a:off x="4831081" y="10530842"/>
          <a:ext cx="1800000" cy="21215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:5 ACCOM DATA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10</xdr:row>
      <xdr:rowOff>38102</xdr:rowOff>
    </xdr:from>
    <xdr:to>
      <xdr:col>18</xdr:col>
      <xdr:colOff>16921</xdr:colOff>
      <xdr:row>10</xdr:row>
      <xdr:rowOff>280740</xdr:rowOff>
    </xdr:to>
    <xdr:sp macro="" textlink="">
      <xdr:nvSpPr>
        <xdr:cNvPr id="214" name="Rectangle 213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SpPr/>
      </xdr:nvSpPr>
      <xdr:spPr>
        <a:xfrm>
          <a:off x="4831081" y="10027922"/>
          <a:ext cx="1800000" cy="21215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:4 ACCOM DATA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8</xdr:row>
      <xdr:rowOff>38102</xdr:rowOff>
    </xdr:from>
    <xdr:to>
      <xdr:col>18</xdr:col>
      <xdr:colOff>16921</xdr:colOff>
      <xdr:row>8</xdr:row>
      <xdr:rowOff>280740</xdr:rowOff>
    </xdr:to>
    <xdr:sp macro="" textlink="">
      <xdr:nvSpPr>
        <xdr:cNvPr id="215" name="Rectangle 214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SpPr/>
      </xdr:nvSpPr>
      <xdr:spPr>
        <a:xfrm>
          <a:off x="4831081" y="9525002"/>
          <a:ext cx="1800000" cy="21215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:3 ACCOM DATA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6</xdr:row>
      <xdr:rowOff>38102</xdr:rowOff>
    </xdr:from>
    <xdr:to>
      <xdr:col>18</xdr:col>
      <xdr:colOff>16921</xdr:colOff>
      <xdr:row>6</xdr:row>
      <xdr:rowOff>280740</xdr:rowOff>
    </xdr:to>
    <xdr:sp macro="" textlink="">
      <xdr:nvSpPr>
        <xdr:cNvPr id="216" name="Rectangle 215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SpPr/>
      </xdr:nvSpPr>
      <xdr:spPr>
        <a:xfrm>
          <a:off x="4831081" y="9022082"/>
          <a:ext cx="1800000" cy="21215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:2 ACCOM DATA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0</xdr:colOff>
      <xdr:row>4</xdr:row>
      <xdr:rowOff>0</xdr:rowOff>
    </xdr:from>
    <xdr:to>
      <xdr:col>17</xdr:col>
      <xdr:colOff>1800000</xdr:colOff>
      <xdr:row>4</xdr:row>
      <xdr:rowOff>242638</xdr:rowOff>
    </xdr:to>
    <xdr:sp macro="" textlink="">
      <xdr:nvSpPr>
        <xdr:cNvPr id="217" name="Rectangle 216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SpPr/>
      </xdr:nvSpPr>
      <xdr:spPr>
        <a:xfrm>
          <a:off x="4777740" y="8481060"/>
          <a:ext cx="1800000" cy="242638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:1 ACCOM DATA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32</xdr:row>
      <xdr:rowOff>38102</xdr:rowOff>
    </xdr:from>
    <xdr:to>
      <xdr:col>18</xdr:col>
      <xdr:colOff>16921</xdr:colOff>
      <xdr:row>32</xdr:row>
      <xdr:rowOff>280740</xdr:rowOff>
    </xdr:to>
    <xdr:sp macro="" textlink="">
      <xdr:nvSpPr>
        <xdr:cNvPr id="241" name="Rectangle 24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/>
      </xdr:nvSpPr>
      <xdr:spPr>
        <a:xfrm>
          <a:off x="2514601" y="1120142"/>
          <a:ext cx="189906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2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32</xdr:row>
      <xdr:rowOff>38102</xdr:rowOff>
    </xdr:from>
    <xdr:to>
      <xdr:col>18</xdr:col>
      <xdr:colOff>16921</xdr:colOff>
      <xdr:row>32</xdr:row>
      <xdr:rowOff>280740</xdr:rowOff>
    </xdr:to>
    <xdr:sp macro="" textlink="">
      <xdr:nvSpPr>
        <xdr:cNvPr id="242" name="Rectangle 241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SpPr/>
      </xdr:nvSpPr>
      <xdr:spPr>
        <a:xfrm>
          <a:off x="2514601" y="1120142"/>
          <a:ext cx="189906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2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34</xdr:row>
      <xdr:rowOff>38102</xdr:rowOff>
    </xdr:from>
    <xdr:to>
      <xdr:col>18</xdr:col>
      <xdr:colOff>16921</xdr:colOff>
      <xdr:row>34</xdr:row>
      <xdr:rowOff>280740</xdr:rowOff>
    </xdr:to>
    <xdr:sp macro="" textlink="">
      <xdr:nvSpPr>
        <xdr:cNvPr id="243" name="Rectangle 24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SpPr/>
      </xdr:nvSpPr>
      <xdr:spPr>
        <a:xfrm>
          <a:off x="2514601" y="1584962"/>
          <a:ext cx="189906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2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34</xdr:row>
      <xdr:rowOff>38102</xdr:rowOff>
    </xdr:from>
    <xdr:to>
      <xdr:col>18</xdr:col>
      <xdr:colOff>16921</xdr:colOff>
      <xdr:row>34</xdr:row>
      <xdr:rowOff>280740</xdr:rowOff>
    </xdr:to>
    <xdr:sp macro="" textlink="">
      <xdr:nvSpPr>
        <xdr:cNvPr id="244" name="Rectangle 243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SpPr/>
      </xdr:nvSpPr>
      <xdr:spPr>
        <a:xfrm>
          <a:off x="2514601" y="1584962"/>
          <a:ext cx="189906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3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36</xdr:row>
      <xdr:rowOff>38102</xdr:rowOff>
    </xdr:from>
    <xdr:to>
      <xdr:col>18</xdr:col>
      <xdr:colOff>16921</xdr:colOff>
      <xdr:row>36</xdr:row>
      <xdr:rowOff>250260</xdr:rowOff>
    </xdr:to>
    <xdr:sp macro="" textlink="">
      <xdr:nvSpPr>
        <xdr:cNvPr id="245" name="Rectangle 24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SpPr/>
      </xdr:nvSpPr>
      <xdr:spPr>
        <a:xfrm>
          <a:off x="11414761" y="8519162"/>
          <a:ext cx="2318160" cy="21215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2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36</xdr:row>
      <xdr:rowOff>38102</xdr:rowOff>
    </xdr:from>
    <xdr:to>
      <xdr:col>18</xdr:col>
      <xdr:colOff>16921</xdr:colOff>
      <xdr:row>36</xdr:row>
      <xdr:rowOff>250260</xdr:rowOff>
    </xdr:to>
    <xdr:sp macro="" textlink="">
      <xdr:nvSpPr>
        <xdr:cNvPr id="246" name="Rectangle 24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SpPr/>
      </xdr:nvSpPr>
      <xdr:spPr>
        <a:xfrm>
          <a:off x="11414761" y="8519162"/>
          <a:ext cx="2318160" cy="21215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4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38</xdr:row>
      <xdr:rowOff>38102</xdr:rowOff>
    </xdr:from>
    <xdr:to>
      <xdr:col>18</xdr:col>
      <xdr:colOff>16921</xdr:colOff>
      <xdr:row>38</xdr:row>
      <xdr:rowOff>250260</xdr:rowOff>
    </xdr:to>
    <xdr:sp macro="" textlink="">
      <xdr:nvSpPr>
        <xdr:cNvPr id="247" name="Rectangle 24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SpPr/>
      </xdr:nvSpPr>
      <xdr:spPr>
        <a:xfrm>
          <a:off x="11414761" y="9022082"/>
          <a:ext cx="2318160" cy="21215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2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38</xdr:row>
      <xdr:rowOff>38102</xdr:rowOff>
    </xdr:from>
    <xdr:to>
      <xdr:col>18</xdr:col>
      <xdr:colOff>16921</xdr:colOff>
      <xdr:row>38</xdr:row>
      <xdr:rowOff>250260</xdr:rowOff>
    </xdr:to>
    <xdr:sp macro="" textlink="">
      <xdr:nvSpPr>
        <xdr:cNvPr id="248" name="Rectangle 247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SpPr/>
      </xdr:nvSpPr>
      <xdr:spPr>
        <a:xfrm>
          <a:off x="11414761" y="9022082"/>
          <a:ext cx="2318160" cy="21215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5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40</xdr:row>
      <xdr:rowOff>38102</xdr:rowOff>
    </xdr:from>
    <xdr:to>
      <xdr:col>18</xdr:col>
      <xdr:colOff>16921</xdr:colOff>
      <xdr:row>40</xdr:row>
      <xdr:rowOff>250260</xdr:rowOff>
    </xdr:to>
    <xdr:sp macro="" textlink="">
      <xdr:nvSpPr>
        <xdr:cNvPr id="249" name="Rectangle 24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SpPr/>
      </xdr:nvSpPr>
      <xdr:spPr>
        <a:xfrm>
          <a:off x="11414761" y="9799322"/>
          <a:ext cx="2318160" cy="21215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2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40</xdr:row>
      <xdr:rowOff>38102</xdr:rowOff>
    </xdr:from>
    <xdr:to>
      <xdr:col>18</xdr:col>
      <xdr:colOff>16921</xdr:colOff>
      <xdr:row>40</xdr:row>
      <xdr:rowOff>250260</xdr:rowOff>
    </xdr:to>
    <xdr:sp macro="" textlink="">
      <xdr:nvSpPr>
        <xdr:cNvPr id="250" name="Rectangle 249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SpPr/>
      </xdr:nvSpPr>
      <xdr:spPr>
        <a:xfrm>
          <a:off x="11414761" y="9799322"/>
          <a:ext cx="2318160" cy="21215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6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42</xdr:row>
      <xdr:rowOff>38102</xdr:rowOff>
    </xdr:from>
    <xdr:to>
      <xdr:col>18</xdr:col>
      <xdr:colOff>16921</xdr:colOff>
      <xdr:row>42</xdr:row>
      <xdr:rowOff>250260</xdr:rowOff>
    </xdr:to>
    <xdr:sp macro="" textlink="">
      <xdr:nvSpPr>
        <xdr:cNvPr id="251" name="Rectangle 25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SpPr/>
      </xdr:nvSpPr>
      <xdr:spPr>
        <a:xfrm>
          <a:off x="11414761" y="10302242"/>
          <a:ext cx="2318160" cy="21215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2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42</xdr:row>
      <xdr:rowOff>38102</xdr:rowOff>
    </xdr:from>
    <xdr:to>
      <xdr:col>18</xdr:col>
      <xdr:colOff>16921</xdr:colOff>
      <xdr:row>42</xdr:row>
      <xdr:rowOff>250260</xdr:rowOff>
    </xdr:to>
    <xdr:sp macro="" textlink="">
      <xdr:nvSpPr>
        <xdr:cNvPr id="252" name="Rectangle 251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SpPr/>
      </xdr:nvSpPr>
      <xdr:spPr>
        <a:xfrm>
          <a:off x="11414761" y="10302242"/>
          <a:ext cx="2318160" cy="21215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7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44</xdr:row>
      <xdr:rowOff>38102</xdr:rowOff>
    </xdr:from>
    <xdr:to>
      <xdr:col>18</xdr:col>
      <xdr:colOff>16921</xdr:colOff>
      <xdr:row>44</xdr:row>
      <xdr:rowOff>250260</xdr:rowOff>
    </xdr:to>
    <xdr:sp macro="" textlink="">
      <xdr:nvSpPr>
        <xdr:cNvPr id="253" name="Rectangle 25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SpPr/>
      </xdr:nvSpPr>
      <xdr:spPr>
        <a:xfrm>
          <a:off x="11414761" y="10805162"/>
          <a:ext cx="2318160" cy="21215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2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44</xdr:row>
      <xdr:rowOff>38102</xdr:rowOff>
    </xdr:from>
    <xdr:to>
      <xdr:col>18</xdr:col>
      <xdr:colOff>16921</xdr:colOff>
      <xdr:row>44</xdr:row>
      <xdr:rowOff>250260</xdr:rowOff>
    </xdr:to>
    <xdr:sp macro="" textlink="">
      <xdr:nvSpPr>
        <xdr:cNvPr id="254" name="Rectangle 253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SpPr/>
      </xdr:nvSpPr>
      <xdr:spPr>
        <a:xfrm>
          <a:off x="11414761" y="10805162"/>
          <a:ext cx="2318160" cy="21215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8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46</xdr:row>
      <xdr:rowOff>38102</xdr:rowOff>
    </xdr:from>
    <xdr:to>
      <xdr:col>18</xdr:col>
      <xdr:colOff>16921</xdr:colOff>
      <xdr:row>46</xdr:row>
      <xdr:rowOff>250260</xdr:rowOff>
    </xdr:to>
    <xdr:sp macro="" textlink="">
      <xdr:nvSpPr>
        <xdr:cNvPr id="255" name="Rectangle 25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SpPr/>
      </xdr:nvSpPr>
      <xdr:spPr>
        <a:xfrm>
          <a:off x="11414761" y="11308082"/>
          <a:ext cx="2318160" cy="21215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2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46</xdr:row>
      <xdr:rowOff>38102</xdr:rowOff>
    </xdr:from>
    <xdr:to>
      <xdr:col>18</xdr:col>
      <xdr:colOff>16921</xdr:colOff>
      <xdr:row>46</xdr:row>
      <xdr:rowOff>250260</xdr:rowOff>
    </xdr:to>
    <xdr:sp macro="" textlink="">
      <xdr:nvSpPr>
        <xdr:cNvPr id="256" name="Rectangle 25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SpPr/>
      </xdr:nvSpPr>
      <xdr:spPr>
        <a:xfrm>
          <a:off x="11414761" y="11308082"/>
          <a:ext cx="2318160" cy="21215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9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48</xdr:row>
      <xdr:rowOff>38102</xdr:rowOff>
    </xdr:from>
    <xdr:to>
      <xdr:col>18</xdr:col>
      <xdr:colOff>16921</xdr:colOff>
      <xdr:row>48</xdr:row>
      <xdr:rowOff>250260</xdr:rowOff>
    </xdr:to>
    <xdr:sp macro="" textlink="">
      <xdr:nvSpPr>
        <xdr:cNvPr id="257" name="Rectangle 25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SpPr/>
      </xdr:nvSpPr>
      <xdr:spPr>
        <a:xfrm>
          <a:off x="11414761" y="11811002"/>
          <a:ext cx="2318160" cy="21215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2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48</xdr:row>
      <xdr:rowOff>38102</xdr:rowOff>
    </xdr:from>
    <xdr:to>
      <xdr:col>18</xdr:col>
      <xdr:colOff>16921</xdr:colOff>
      <xdr:row>48</xdr:row>
      <xdr:rowOff>250260</xdr:rowOff>
    </xdr:to>
    <xdr:sp macro="" textlink="">
      <xdr:nvSpPr>
        <xdr:cNvPr id="258" name="Rectangle 25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SpPr/>
      </xdr:nvSpPr>
      <xdr:spPr>
        <a:xfrm>
          <a:off x="11414761" y="11811002"/>
          <a:ext cx="2318160" cy="21215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10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50</xdr:row>
      <xdr:rowOff>38102</xdr:rowOff>
    </xdr:from>
    <xdr:to>
      <xdr:col>18</xdr:col>
      <xdr:colOff>16921</xdr:colOff>
      <xdr:row>50</xdr:row>
      <xdr:rowOff>250260</xdr:rowOff>
    </xdr:to>
    <xdr:sp macro="" textlink="">
      <xdr:nvSpPr>
        <xdr:cNvPr id="259" name="Rectangle 25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SpPr/>
      </xdr:nvSpPr>
      <xdr:spPr>
        <a:xfrm>
          <a:off x="11414761" y="12313922"/>
          <a:ext cx="2318160" cy="21215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2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50</xdr:row>
      <xdr:rowOff>38102</xdr:rowOff>
    </xdr:from>
    <xdr:to>
      <xdr:col>18</xdr:col>
      <xdr:colOff>16921</xdr:colOff>
      <xdr:row>50</xdr:row>
      <xdr:rowOff>250260</xdr:rowOff>
    </xdr:to>
    <xdr:sp macro="" textlink="">
      <xdr:nvSpPr>
        <xdr:cNvPr id="260" name="Rectangle 259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/>
      </xdr:nvSpPr>
      <xdr:spPr>
        <a:xfrm>
          <a:off x="11414761" y="12313922"/>
          <a:ext cx="2318160" cy="21215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11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52</xdr:row>
      <xdr:rowOff>38102</xdr:rowOff>
    </xdr:from>
    <xdr:to>
      <xdr:col>18</xdr:col>
      <xdr:colOff>16921</xdr:colOff>
      <xdr:row>52</xdr:row>
      <xdr:rowOff>250260</xdr:rowOff>
    </xdr:to>
    <xdr:sp macro="" textlink="">
      <xdr:nvSpPr>
        <xdr:cNvPr id="261" name="Rectangle 26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SpPr/>
      </xdr:nvSpPr>
      <xdr:spPr>
        <a:xfrm>
          <a:off x="11414761" y="12816842"/>
          <a:ext cx="2318160" cy="21215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2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53341</xdr:colOff>
      <xdr:row>52</xdr:row>
      <xdr:rowOff>38102</xdr:rowOff>
    </xdr:from>
    <xdr:to>
      <xdr:col>18</xdr:col>
      <xdr:colOff>16921</xdr:colOff>
      <xdr:row>52</xdr:row>
      <xdr:rowOff>250260</xdr:rowOff>
    </xdr:to>
    <xdr:sp macro="" textlink="">
      <xdr:nvSpPr>
        <xdr:cNvPr id="262" name="Rectangle 261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SpPr/>
      </xdr:nvSpPr>
      <xdr:spPr>
        <a:xfrm>
          <a:off x="11414761" y="12816842"/>
          <a:ext cx="2318160" cy="21215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12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0</xdr:colOff>
      <xdr:row>30</xdr:row>
      <xdr:rowOff>0</xdr:rowOff>
    </xdr:from>
    <xdr:to>
      <xdr:col>17</xdr:col>
      <xdr:colOff>1899060</xdr:colOff>
      <xdr:row>30</xdr:row>
      <xdr:rowOff>242638</xdr:rowOff>
    </xdr:to>
    <xdr:sp macro="" textlink="">
      <xdr:nvSpPr>
        <xdr:cNvPr id="263" name="Rectangle 262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SpPr/>
      </xdr:nvSpPr>
      <xdr:spPr>
        <a:xfrm>
          <a:off x="2461260" y="617220"/>
          <a:ext cx="1899060" cy="2426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DAY</a:t>
          </a:r>
          <a:r>
            <a:rPr lang="en-US" sz="1400" b="0" i="0" baseline="0">
              <a:solidFill>
                <a:schemeClr val="bg1"/>
              </a:solidFill>
            </a:rPr>
            <a:t> 1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0</xdr:colOff>
      <xdr:row>8</xdr:row>
      <xdr:rowOff>0</xdr:rowOff>
    </xdr:from>
    <xdr:to>
      <xdr:col>13</xdr:col>
      <xdr:colOff>1815240</xdr:colOff>
      <xdr:row>10</xdr:row>
      <xdr:rowOff>83820</xdr:rowOff>
    </xdr:to>
    <xdr:sp macro="" textlink="">
      <xdr:nvSpPr>
        <xdr:cNvPr id="264" name="Rectangle 263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SpPr/>
      </xdr:nvSpPr>
      <xdr:spPr>
        <a:xfrm>
          <a:off x="6995160" y="1546860"/>
          <a:ext cx="1815240" cy="548640"/>
        </a:xfrm>
        <a:prstGeom prst="rect">
          <a:avLst/>
        </a:prstGeom>
        <a:solidFill>
          <a:schemeClr val="accent3">
            <a:lumMod val="75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RESTAUTANT</a:t>
          </a:r>
          <a:r>
            <a:rPr lang="en-US" sz="1400" b="0" i="0" baseline="0">
              <a:solidFill>
                <a:schemeClr val="bg1"/>
              </a:solidFill>
            </a:rPr>
            <a:t> RUNSHEET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4</xdr:row>
      <xdr:rowOff>38100</xdr:rowOff>
    </xdr:from>
    <xdr:to>
      <xdr:col>0</xdr:col>
      <xdr:colOff>0</xdr:colOff>
      <xdr:row>6</xdr:row>
      <xdr:rowOff>295861</xdr:rowOff>
    </xdr:to>
    <xdr:grpSp>
      <xdr:nvGrpSpPr>
        <xdr:cNvPr id="101" name="Group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GrpSpPr/>
      </xdr:nvGrpSpPr>
      <xdr:grpSpPr>
        <a:xfrm>
          <a:off x="0" y="655320"/>
          <a:ext cx="0" cy="722581"/>
          <a:chOff x="6919800" y="655320"/>
          <a:chExt cx="1800000" cy="718344"/>
        </a:xfrm>
        <a:solidFill>
          <a:schemeClr val="accent3">
            <a:lumMod val="50000"/>
          </a:schemeClr>
        </a:solidFill>
      </xdr:grpSpPr>
      <xdr:sp macro="" textlink="">
        <xdr:nvSpPr>
          <xdr:cNvPr id="102" name="Rectangle 101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/>
        </xdr:nvSpPr>
        <xdr:spPr>
          <a:xfrm>
            <a:off x="6919800" y="655320"/>
            <a:ext cx="1800000" cy="252000"/>
          </a:xfrm>
          <a:prstGeom prst="rect">
            <a:avLst/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i="0">
                <a:solidFill>
                  <a:schemeClr val="bg1"/>
                </a:solidFill>
              </a:rPr>
              <a:t>FOOD</a:t>
            </a:r>
            <a:r>
              <a:rPr lang="en-US" sz="1400" b="0" i="0" baseline="0">
                <a:solidFill>
                  <a:schemeClr val="bg1"/>
                </a:solidFill>
              </a:rPr>
              <a:t> SERVES</a:t>
            </a:r>
            <a:endParaRPr lang="en-US" sz="1400" b="0" i="0">
              <a:solidFill>
                <a:schemeClr val="bg1"/>
              </a:solidFill>
            </a:endParaRPr>
          </a:p>
        </xdr:txBody>
      </xdr:sp>
      <xdr:sp macro="" textlink="">
        <xdr:nvSpPr>
          <xdr:cNvPr id="103" name="Rectangle 102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/>
        </xdr:nvSpPr>
        <xdr:spPr>
          <a:xfrm>
            <a:off x="6919800" y="1121664"/>
            <a:ext cx="1800000" cy="252000"/>
          </a:xfrm>
          <a:prstGeom prst="rect">
            <a:avLst/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i="0">
                <a:solidFill>
                  <a:schemeClr val="bg1"/>
                </a:solidFill>
              </a:rPr>
              <a:t>GUIDE</a:t>
            </a:r>
            <a:r>
              <a:rPr lang="en-US" sz="1400" b="0" i="0" baseline="0">
                <a:solidFill>
                  <a:schemeClr val="bg1"/>
                </a:solidFill>
              </a:rPr>
              <a:t> FOOD LIST</a:t>
            </a:r>
            <a:endParaRPr lang="en-US" sz="1400" b="0" i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</xdr:col>
      <xdr:colOff>7620</xdr:colOff>
      <xdr:row>4</xdr:row>
      <xdr:rowOff>60960</xdr:rowOff>
    </xdr:from>
    <xdr:to>
      <xdr:col>1</xdr:col>
      <xdr:colOff>1822860</xdr:colOff>
      <xdr:row>5</xdr:row>
      <xdr:rowOff>4055</xdr:rowOff>
    </xdr:to>
    <xdr:sp macro="[0]!ThisWorkbook.HideRows" textlink="">
      <xdr:nvSpPr>
        <xdr:cNvPr id="106" name="Rectangle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>
        <a:xfrm>
          <a:off x="198120" y="678180"/>
          <a:ext cx="1815240" cy="255515"/>
        </a:xfrm>
        <a:prstGeom prst="rect">
          <a:avLst/>
        </a:prstGeom>
        <a:solidFill>
          <a:srgbClr val="7C7C7C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>
              <a:solidFill>
                <a:schemeClr val="bg1"/>
              </a:solidFill>
            </a:rPr>
            <a:t>HIDE</a:t>
          </a:r>
          <a:r>
            <a:rPr lang="en-US" sz="1400" b="0" i="0" baseline="0">
              <a:solidFill>
                <a:schemeClr val="bg1"/>
              </a:solidFill>
            </a:rPr>
            <a:t> "0" ROWS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30480</xdr:colOff>
      <xdr:row>16</xdr:row>
      <xdr:rowOff>144780</xdr:rowOff>
    </xdr:from>
    <xdr:to>
      <xdr:col>1</xdr:col>
      <xdr:colOff>1793087</xdr:colOff>
      <xdr:row>20</xdr:row>
      <xdr:rowOff>91145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220980" y="3550920"/>
          <a:ext cx="1762607" cy="87600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83820</xdr:rowOff>
    </xdr:from>
    <xdr:to>
      <xdr:col>1</xdr:col>
      <xdr:colOff>1815240</xdr:colOff>
      <xdr:row>14</xdr:row>
      <xdr:rowOff>121920</xdr:rowOff>
    </xdr:to>
    <xdr:sp macro="" textlink="">
      <xdr:nvSpPr>
        <xdr:cNvPr id="108" name="Rectangle 107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90500" y="2407920"/>
          <a:ext cx="1815240" cy="655320"/>
        </a:xfrm>
        <a:prstGeom prst="rect">
          <a:avLst/>
        </a:prstGeom>
        <a:solidFill>
          <a:schemeClr val="accent3">
            <a:lumMod val="75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 baseline="0">
              <a:solidFill>
                <a:schemeClr val="bg1"/>
              </a:solidFill>
            </a:rPr>
            <a:t>FILE - OPTIONS - ADVANCED </a:t>
          </a:r>
          <a:endParaRPr lang="en-US" sz="1400" b="0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243840</xdr:colOff>
      <xdr:row>36</xdr:row>
      <xdr:rowOff>144780</xdr:rowOff>
    </xdr:from>
    <xdr:to>
      <xdr:col>1</xdr:col>
      <xdr:colOff>1158240</xdr:colOff>
      <xdr:row>40</xdr:row>
      <xdr:rowOff>76200</xdr:rowOff>
    </xdr:to>
    <xdr:pic macro="[0]!print_sh">
      <xdr:nvPicPr>
        <xdr:cNvPr id="7" name="Graphic 6" descr="Fax with solid fil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3"/>
            </a:ext>
          </a:extLst>
        </a:blip>
        <a:stretch>
          <a:fillRect/>
        </a:stretch>
      </xdr:blipFill>
      <xdr:spPr>
        <a:xfrm>
          <a:off x="434340" y="8625840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1790700</xdr:colOff>
          <xdr:row>36</xdr:row>
          <xdr:rowOff>144780</xdr:rowOff>
        </xdr:from>
        <xdr:to>
          <xdr:col>6</xdr:col>
          <xdr:colOff>60960</xdr:colOff>
          <xdr:row>47</xdr:row>
          <xdr:rowOff>0</xdr:rowOff>
        </xdr:to>
        <xdr:sp macro="" textlink="">
          <xdr:nvSpPr>
            <xdr:cNvPr id="1026" name="ListBoxSh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</xdr:row>
          <xdr:rowOff>190500</xdr:rowOff>
        </xdr:from>
        <xdr:to>
          <xdr:col>98</xdr:col>
          <xdr:colOff>15240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Navbar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190500</xdr:rowOff>
        </xdr:from>
        <xdr:to>
          <xdr:col>3</xdr:col>
          <xdr:colOff>525780</xdr:colOff>
          <xdr:row>65</xdr:row>
          <xdr:rowOff>160020</xdr:rowOff>
        </xdr:to>
        <xdr:sp macro="" textlink="">
          <xdr:nvSpPr>
            <xdr:cNvPr id="2062" name="CommandButton100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1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327660</xdr:colOff>
      <xdr:row>7</xdr:row>
      <xdr:rowOff>213361</xdr:rowOff>
    </xdr:from>
    <xdr:to>
      <xdr:col>6</xdr:col>
      <xdr:colOff>3185160</xdr:colOff>
      <xdr:row>7</xdr:row>
      <xdr:rowOff>1395439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85260" y="1501141"/>
          <a:ext cx="2857500" cy="118207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ffic\Downloads\Accounting%20System%20for%20Manufacturing%20Company%20V5.1%20-%20Fill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nel"/>
      <sheetName val="Company Setup"/>
      <sheetName val="Supplier"/>
      <sheetName val="Invoice"/>
      <sheetName val="Purchase Order"/>
      <sheetName val="AP - Supplier"/>
      <sheetName val="Customer"/>
      <sheetName val="AR Customer"/>
      <sheetName val="Inventory"/>
      <sheetName val="Raw Material"/>
      <sheetName val="Indirect Material"/>
      <sheetName val="Petty Cash"/>
      <sheetName val="PC - Reconcile"/>
      <sheetName val="General Ledger"/>
      <sheetName val="Dummy GL"/>
      <sheetName val="Cash Journal"/>
      <sheetName val="Purchase Journal"/>
      <sheetName val="Sales Journal"/>
      <sheetName val="General Journal"/>
      <sheetName val="Adjusting Journal"/>
      <sheetName val="Chart of Accounts"/>
      <sheetName val="Equity"/>
      <sheetName val="Equity Report 1"/>
      <sheetName val="Equity Report 1 - Monthly"/>
      <sheetName val="Equity Report 2"/>
      <sheetName val="Cash Flow - Direct"/>
      <sheetName val="CF Report - Direct 1"/>
      <sheetName val="CF Report - Direct 1 - Monthly"/>
      <sheetName val="CF Report - Direct 2"/>
      <sheetName val="Cash Flow - Indirect"/>
      <sheetName val="CF Report - Indirect 1"/>
      <sheetName val="CF Report - Indirect 2"/>
      <sheetName val="Balance Sheet"/>
      <sheetName val="BS Report - 1"/>
      <sheetName val="BS Report - 1 - Monthly"/>
      <sheetName val="BS Report - 2"/>
      <sheetName val="BS Report - 3"/>
      <sheetName val="CoGM"/>
      <sheetName val="CoGM Report - 1"/>
      <sheetName val="CoGM Report - 1 - Monthly"/>
      <sheetName val="CoGM Report - 2"/>
      <sheetName val="Profit Loss"/>
      <sheetName val="PnL Report - 1"/>
      <sheetName val="PnL Report - 2"/>
      <sheetName val="PnL Report - 2 - Monthly"/>
      <sheetName val="PnL Report - 3"/>
      <sheetName val="Employee"/>
      <sheetName val="Commission"/>
      <sheetName val="Depreciation"/>
      <sheetName val="How to Use"/>
      <sheetName val="Copyright"/>
      <sheetName val="Copyright-2"/>
    </sheetNames>
    <sheetDataSet>
      <sheetData sheetId="0"/>
      <sheetData sheetId="1">
        <row r="4">
          <cell r="G4">
            <v>43831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2C8540-6EFD-43AB-852C-82EB33913DC7}" name="tour_type" displayName="tour_type" ref="D5:D11" totalsRowShown="0">
  <autoFilter ref="D5:D11" xr:uid="{F62C8540-6EFD-43AB-852C-82EB33913DC7}"/>
  <tableColumns count="1">
    <tableColumn id="1" xr3:uid="{8AF070AD-3C08-49B8-A2AE-803712613316}" name="tour_ty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EBBC41-1211-44C1-8142-1AF8AF290465}" name="guest_lists" displayName="guest_lists" ref="G5:K17" totalsRowShown="0" tableBorderDxfId="132">
  <autoFilter ref="G5:K17" xr:uid="{23EBBC41-1211-44C1-8142-1AF8AF290465}"/>
  <tableColumns count="5">
    <tableColumn id="3" xr3:uid="{77B5616A-A987-4220-9540-4C6ADC168D14}" name="tour_type" dataDxfId="131"/>
    <tableColumn id="1" xr3:uid="{52C95878-E5C8-49D6-B128-53DBE1788E09}" name="guest_lists" dataDxfId="130"/>
    <tableColumn id="2" xr3:uid="{32DD6355-0D5F-4C94-8525-DCDF5F72988B}" name="party" dataDxfId="129"/>
    <tableColumn id="4" xr3:uid="{67EB36E9-FCE8-4EDA-8168-BD1D0F8F1D24}" name="dietary_requirements2" dataDxfId="128"/>
    <tableColumn id="5" xr3:uid="{093BCFD6-3335-4EDD-9F28-251BFA7167CF}" name="guides_extra_notes" dataDxfId="12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CD97EDB-BCCF-4623-9C82-20AA8F3E1239}" name="tour_number" displayName="tour_number" ref="E20:E24" totalsRowShown="0" headerRowDxfId="126">
  <autoFilter ref="E20:E24" xr:uid="{6CD97EDB-BCCF-4623-9C82-20AA8F3E1239}"/>
  <tableColumns count="1">
    <tableColumn id="1" xr3:uid="{5B769DB9-942B-4B4A-9729-C2C05BE16E50}" name="tour_numbe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922C6E8-ED83-4315-9B4A-790C92147CC8}" name="guide_lists" displayName="guide_lists" ref="M5:P8" totalsRowShown="0" tableBorderDxfId="125">
  <autoFilter ref="M5:P8" xr:uid="{E922C6E8-ED83-4315-9B4A-790C92147CC8}"/>
  <tableColumns count="4">
    <tableColumn id="2" xr3:uid="{3FBD6630-9C98-4342-AC74-748719FE1B08}" name="guide_tour_type" dataDxfId="124"/>
    <tableColumn id="1" xr3:uid="{7A6DCB4F-B08C-4EDD-A9C2-853DBB2F5C3D}" name="guide_lists" dataDxfId="123"/>
    <tableColumn id="3" xr3:uid="{1C83D958-8606-4F96-993A-7A40FCC1EA1E}" name="dietary_requirements" dataDxfId="122"/>
    <tableColumn id="4" xr3:uid="{E4693B9D-22F2-4589-9A2C-DB02B8AD6EF0}" name="guides_extra_notes" dataDxfId="12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16E0D1-B5DE-4F87-A9B7-76CA20DF29C1}" name="yes_no" displayName="yes_no" ref="G20:G24" totalsRowShown="0" headerRowDxfId="120">
  <autoFilter ref="G20:G24" xr:uid="{8516E0D1-B5DE-4F87-A9B7-76CA20DF29C1}"/>
  <tableColumns count="1">
    <tableColumn id="1" xr3:uid="{1F154535-73CC-4418-94C2-805484CF3714}" name="yes_n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8EC8E3-15D7-48A5-B77C-B094DA7EBDD5}" name="dinner_menu" displayName="dinner_menu" ref="K21:K27" totalsRowShown="0">
  <autoFilter ref="K21:K27" xr:uid="{C18EC8E3-15D7-48A5-B77C-B094DA7EBDD5}"/>
  <tableColumns count="1">
    <tableColumn id="1" xr3:uid="{2FFBB344-C780-44F3-9659-3A822264AED9}" name="dinner_menu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9C2695C-36E1-4D2A-AEA7-FCD58E811121}" name="lunch_menu" displayName="lunch_menu" ref="J21:J30" totalsRowShown="0">
  <autoFilter ref="J21:J30" xr:uid="{29C2695C-36E1-4D2A-AEA7-FCD58E811121}"/>
  <tableColumns count="1">
    <tableColumn id="1" xr3:uid="{7B6BED18-1239-4E66-9676-551AE0C39B6A}" name="lunch_menu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DDD2B56-C6A7-4F7B-B034-469974BFF768}" name="breakfast_menu" displayName="breakfast_menu" ref="I21:I26" totalsRowShown="0">
  <autoFilter ref="I21:I26" xr:uid="{9DDD2B56-C6A7-4F7B-B034-469974BFF768}"/>
  <tableColumns count="1">
    <tableColumn id="1" xr3:uid="{974E3884-8D05-4B88-BB7A-766682F2ED77}" name="breakfast_menu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C2E00B3-8595-4F3D-847B-32EFD8B1A924}" name="Table12" displayName="Table12" ref="D33:P36" totalsRowShown="0" headerRowDxfId="119" tableBorderDxfId="118">
  <autoFilter ref="D33:P36" xr:uid="{6C2E00B3-8595-4F3D-847B-32EFD8B1A924}"/>
  <tableColumns count="13">
    <tableColumn id="1" xr3:uid="{F1D80114-E421-4110-A68E-3B058B111006}" name="Item" dataDxfId="117"/>
    <tableColumn id="2" xr3:uid="{FA9D9B42-F0F5-427D-8CFC-81E3AAAB4DCC}" name="Day 1"/>
    <tableColumn id="3" xr3:uid="{E127075A-6D16-4ABA-B8C4-02D2FD2AA6FF}" name="Day 2"/>
    <tableColumn id="4" xr3:uid="{DE2CFE5B-ADFD-46EB-92C3-080B1CC69167}" name="Day 3"/>
    <tableColumn id="5" xr3:uid="{DEE88A4B-7742-46F6-88AB-6B6F51EBA96E}" name="Day 4"/>
    <tableColumn id="6" xr3:uid="{E5003561-78C2-4152-9BA4-87C6C1E7DA7B}" name="Day 5"/>
    <tableColumn id="7" xr3:uid="{0BDA5896-CAAD-4C5F-B587-5EF8D19EB5A6}" name="Day 6"/>
    <tableColumn id="8" xr3:uid="{25560E5D-4B36-4958-971A-09CE12E03645}" name="Day 7"/>
    <tableColumn id="9" xr3:uid="{096B5F2B-DBB9-4E02-8253-8D2692B88A3F}" name="Day 8"/>
    <tableColumn id="10" xr3:uid="{82099F97-4BAE-4B30-ACB4-9A2EF8B122AB}" name="Day 9"/>
    <tableColumn id="11" xr3:uid="{618FF8F0-2F0F-40DC-988B-B304508BE612}" name="Day 10"/>
    <tableColumn id="12" xr3:uid="{357172D9-3A45-4AC1-B2EE-A056E6351C86}" name="Day 11"/>
    <tableColumn id="13" xr3:uid="{EBD8B13F-C204-4C29-B1AC-93F3098A166A}" name="Day 1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5EFD55-E5CA-4553-9241-B346557E2DD5}" name="Table1215" displayName="Table1215" ref="D39:P42" totalsRowShown="0" headerRowDxfId="116" tableBorderDxfId="115">
  <autoFilter ref="D39:P42" xr:uid="{105EFD55-E5CA-4553-9241-B346557E2DD5}"/>
  <tableColumns count="13">
    <tableColumn id="1" xr3:uid="{63D5C4DB-E8C7-4DA1-A20E-27F845DF72D3}" name="Item" dataDxfId="114"/>
    <tableColumn id="2" xr3:uid="{10CE06A8-CAA5-419F-9CB3-882694F1D85D}" name="Day 1"/>
    <tableColumn id="3" xr3:uid="{8FEDD39F-E770-4056-B718-016980CECE76}" name="Day 2"/>
    <tableColumn id="4" xr3:uid="{88B25454-277B-47B3-A431-D40A9CE912AF}" name="Day 3"/>
    <tableColumn id="5" xr3:uid="{F3969EEA-D567-410C-B665-C3FAB85197D3}" name="Day 4"/>
    <tableColumn id="6" xr3:uid="{7FB20A4F-9899-4543-8C4B-10D9A591D200}" name="Day 5"/>
    <tableColumn id="7" xr3:uid="{E92C7AEA-2062-4ED3-9FC4-EC914A4AD3A7}" name="Day 6"/>
    <tableColumn id="8" xr3:uid="{060438AE-6F9E-4365-80A3-DC4FD595DC46}" name="Day 7"/>
    <tableColumn id="9" xr3:uid="{3E2FE543-7344-4A35-B17F-DC503494A7F0}" name="Day 8"/>
    <tableColumn id="10" xr3:uid="{BDA6EB0F-D263-4FBE-B03A-4D00774FE999}" name="Day 9"/>
    <tableColumn id="11" xr3:uid="{9D47F6BA-FCD3-4FB6-B923-D42C9D076EB7}" name="Day 10"/>
    <tableColumn id="12" xr3:uid="{7A4B26FA-4F4F-4F08-B035-16CADCB174D8}" name="Day 11"/>
    <tableColumn id="13" xr3:uid="{E9CCF8D6-303F-46B4-8315-5B7228B2792E}" name="Day 1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D54A580-E2F5-4DBC-BC2F-F6D708E33AD3}" name="dinner_menu_gf" displayName="dinner_menu_gf" ref="O21:O27" totalsRowShown="0">
  <autoFilter ref="O21:O27" xr:uid="{ED54A580-E2F5-4DBC-BC2F-F6D708E33AD3}"/>
  <tableColumns count="1">
    <tableColumn id="1" xr3:uid="{90DFEEA2-E2D3-4065-BD65-75830331DDCE}" name="dinner_menu_gf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F834915-A216-4ED0-A52E-A7A0186FED67}" name="lunch_menu_gf" displayName="lunch_menu_gf" ref="N21:N27" totalsRowShown="0">
  <autoFilter ref="N21:N27" xr:uid="{9F834915-A216-4ED0-A52E-A7A0186FED67}"/>
  <tableColumns count="1">
    <tableColumn id="1" xr3:uid="{DD377197-4E52-4A9E-882C-9BE51F5AB921}" name="lunch_menu_gf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0022F0C-2E3D-4AFB-B45E-B24217673CDD}" name="breakfast_menu_gf" displayName="breakfast_menu_gf" ref="M21:M26" totalsRowShown="0">
  <autoFilter ref="M21:M26" xr:uid="{60022F0C-2E3D-4AFB-B45E-B24217673CDD}"/>
  <tableColumns count="1">
    <tableColumn id="1" xr3:uid="{3366D992-5383-494F-B45E-A5B52D09BDF8}" name="breakfast_menu_gf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E2D0A5C-409D-42F6-9B1E-B2F1D648528B}" name="dinner_menu_li" displayName="dinner_menu_li" ref="S21:S27" totalsRowShown="0">
  <autoFilter ref="S21:S27" xr:uid="{3E2D0A5C-409D-42F6-9B1E-B2F1D648528B}"/>
  <tableColumns count="1">
    <tableColumn id="1" xr3:uid="{9FE32940-9CB6-4C2B-8996-17C78F2D9CA7}" name="dinner_menu_li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F919599-A11E-4210-9DA2-8CF1CF7E4932}" name="lunch_menu_li" displayName="lunch_menu_li" ref="R21:R27" totalsRowShown="0">
  <autoFilter ref="R21:R27" xr:uid="{6F919599-A11E-4210-9DA2-8CF1CF7E4932}"/>
  <tableColumns count="1">
    <tableColumn id="1" xr3:uid="{2D076D03-E915-4420-83B3-7A86B0BA309C}" name="lunch_menu_li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A2BBF19-05E4-4547-BE0C-6D4A1B81B582}" name="breakfast_menu_li" displayName="breakfast_menu_li" ref="Q21:Q26" totalsRowShown="0">
  <autoFilter ref="Q21:Q26" xr:uid="{BA2BBF19-05E4-4547-BE0C-6D4A1B81B582}"/>
  <tableColumns count="1">
    <tableColumn id="1" xr3:uid="{CD156BA5-66A2-4CD5-A7CA-ACE994EDF81E}" name="breakfast_menu_li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1C999C5-75CC-4A9D-B361-73E73DD64C3F}" name="Table121522" displayName="Table121522" ref="D45:P48" totalsRowShown="0" headerRowDxfId="113" tableBorderDxfId="112">
  <autoFilter ref="D45:P48" xr:uid="{D1C999C5-75CC-4A9D-B361-73E73DD64C3F}"/>
  <tableColumns count="13">
    <tableColumn id="1" xr3:uid="{BF8C6551-FACF-4D35-BE4B-2705B437A8B9}" name="Item" dataDxfId="111"/>
    <tableColumn id="2" xr3:uid="{8E4A93C0-6E47-45EE-B8BC-4FDE2FB58A88}" name="Day 1"/>
    <tableColumn id="3" xr3:uid="{91954140-3E27-4672-9EBB-4CE268D1498E}" name="Day 2"/>
    <tableColumn id="4" xr3:uid="{164F3AA6-A099-4DEA-92B3-7B015BE86DD9}" name="Day 3"/>
    <tableColumn id="5" xr3:uid="{FC8BFB72-6138-4A4C-83B2-80D6379A6F92}" name="Day 4"/>
    <tableColumn id="6" xr3:uid="{A846E102-DC15-4FE4-8AB4-567225307BBA}" name="Day 5"/>
    <tableColumn id="7" xr3:uid="{DEB7D4A4-C57B-452F-AFEC-DCA12711AADC}" name="Day 6"/>
    <tableColumn id="8" xr3:uid="{FD7FA446-A251-481F-ACF9-44B80686C4B1}" name="Day 7"/>
    <tableColumn id="9" xr3:uid="{3017EC5C-FA55-49E9-B561-7F1BBE157262}" name="Day 8"/>
    <tableColumn id="10" xr3:uid="{0F22A778-7FDB-40F1-9931-1091218DB624}" name="Day 9"/>
    <tableColumn id="11" xr3:uid="{87E7024E-CA8E-4762-9203-B240A622F2E1}" name="Day 10"/>
    <tableColumn id="12" xr3:uid="{0ACFF171-1FF9-4435-BBE2-92C4DFD1E64C}" name="Day 11"/>
    <tableColumn id="13" xr3:uid="{107F09D3-7C81-4F99-8AE9-2F0CCC71C334}" name="Day 1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7E49F40-BB9E-457C-8E70-624FEBBF6A17}" name="dietary_requirements" displayName="dietary_requirements" ref="R5:R11" totalsRowShown="0" headerRowDxfId="110" headerRowBorderDxfId="109" tableBorderDxfId="108">
  <autoFilter ref="R5:R11" xr:uid="{A7E49F40-BB9E-457C-8E70-624FEBBF6A17}"/>
  <tableColumns count="1">
    <tableColumn id="1" xr3:uid="{52596863-6060-4808-AFDB-29B3480FA11A}" name="dietary_requirements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77F4AB0-B7A6-4A0A-9943-27C60AF8F386}" name="dinner_menu_nn" displayName="dinner_menu_nn" ref="W21:W27" totalsRowShown="0">
  <autoFilter ref="W21:W27" xr:uid="{477F4AB0-B7A6-4A0A-9943-27C60AF8F386}"/>
  <tableColumns count="1">
    <tableColumn id="1" xr3:uid="{2B9D9E79-C57C-4053-A915-533C3DCD26C7}" name="dinner_menu_nn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76DFB25-BA8C-44C3-A7CC-CB26C4EED3F0}" name="lunch_menu_nn" displayName="lunch_menu_nn" ref="V21:V27" totalsRowShown="0">
  <autoFilter ref="V21:V27" xr:uid="{076DFB25-BA8C-44C3-A7CC-CB26C4EED3F0}"/>
  <tableColumns count="1">
    <tableColumn id="1" xr3:uid="{5934B5E5-A184-441C-A7BF-F0C50DB49DAB}" name="lunch_menu_nn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F1E1B4F-F39F-4898-9F4F-59AA9C1D81B3}" name="breakfast_menu_nn" displayName="breakfast_menu_nn" ref="U21:U26" totalsRowShown="0">
  <autoFilter ref="U21:U26" xr:uid="{CF1E1B4F-F39F-4898-9F4F-59AA9C1D81B3}"/>
  <tableColumns count="1">
    <tableColumn id="1" xr3:uid="{1923BA10-39ED-4DCF-88C0-B5B21E87839E}" name="breakfast_menu_nn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F4492EC-D1DE-47DF-A4A2-11E49985B949}" name="Table12152227" displayName="Table12152227" ref="D51:P54" totalsRowShown="0" headerRowDxfId="107" tableBorderDxfId="106">
  <autoFilter ref="D51:P54" xr:uid="{AF4492EC-D1DE-47DF-A4A2-11E49985B949}"/>
  <tableColumns count="13">
    <tableColumn id="1" xr3:uid="{6C1EE367-E1C9-4AC0-8F0D-E938D4129263}" name="Item" dataDxfId="105"/>
    <tableColumn id="2" xr3:uid="{323DCD6B-0387-4D75-85A1-E9F2AD966EDC}" name="Day 1"/>
    <tableColumn id="3" xr3:uid="{84290DF6-6868-4F00-B43C-5FD1D4E08661}" name="Day 2"/>
    <tableColumn id="4" xr3:uid="{3D2D7797-0373-43DF-9B6B-3DAF3750F88F}" name="Day 3"/>
    <tableColumn id="5" xr3:uid="{8DDB6C6F-E83B-4A59-AA23-94DE283A5543}" name="Day 4"/>
    <tableColumn id="6" xr3:uid="{55067287-85F5-489B-B89B-EE307C48EF6B}" name="Day 5"/>
    <tableColumn id="7" xr3:uid="{07A63288-FD3A-43F1-9F7A-90425B6E4388}" name="Day 6"/>
    <tableColumn id="8" xr3:uid="{2B24E9AB-DCD2-4825-8374-052333FCEB88}" name="Day 7"/>
    <tableColumn id="9" xr3:uid="{D543CC2A-6DF9-453F-9086-3F8DFA10BF22}" name="Day 8"/>
    <tableColumn id="10" xr3:uid="{35C44280-490A-4D6A-ABC3-1C2871AC0035}" name="Day 9"/>
    <tableColumn id="11" xr3:uid="{E01E42CA-E947-4448-85EC-0B0247E88BF3}" name="Day 10"/>
    <tableColumn id="12" xr3:uid="{09E964B0-3E39-436D-9F88-6D6F05B61A6B}" name="Day 11"/>
    <tableColumn id="13" xr3:uid="{8D1AF829-2C15-4F0A-85FC-6792EB80F1E4}" name="Day 1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90876C10-FE94-4EB7-803C-240DD5964BD5}" name="day_1_accommodation" displayName="day_1_accommodation" ref="E64:I68" totalsRowShown="0">
  <autoFilter ref="E64:I68" xr:uid="{90876C10-FE94-4EB7-803C-240DD5964BD5}"/>
  <tableColumns count="5">
    <tableColumn id="1" xr3:uid="{8D62D673-78D0-47A7-BBB1-CD7463E6006E}" name="day_1_accommodation"/>
    <tableColumn id="2" xr3:uid="{705E32DE-3AED-4D99-BBB3-E819F6F85953}" name="day_1_address"/>
    <tableColumn id="3" xr3:uid="{338345BA-FE0B-44C1-9DB2-AB19A12BD341}" name="number_of_rooms_booked"/>
    <tableColumn id="4" xr3:uid="{0701A3FB-78D6-4EF6-9EE7-09830D15839E}" name="bedding_config_booked"/>
    <tableColumn id="5" xr3:uid="{A945F1EB-2D20-47B0-B931-5B53AEB1B804}" name="contact_details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267D2927-08C3-445A-BB39-9CA1B6106ADE}" name="party" displayName="party" ref="T5:T19" totalsRowShown="0">
  <autoFilter ref="T5:T19" xr:uid="{267D2927-08C3-445A-BB39-9CA1B6106ADE}"/>
  <tableColumns count="1">
    <tableColumn id="1" xr3:uid="{B0571BB4-E88F-4BD8-A10F-3B1A88D1D649}" name="party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B54C7F4-5475-465E-A56F-103D310F74A7}" name="bedding_configuration" displayName="bedding_configuration" ref="V5:V9" totalsRowShown="0">
  <autoFilter ref="V5:V9" xr:uid="{DB54C7F4-5475-465E-A56F-103D310F74A7}"/>
  <tableColumns count="1">
    <tableColumn id="1" xr3:uid="{8FC1D5A6-ACC5-4C52-99D0-B1B371D4CC37}" name="bedding_configuration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29091DEF-F35E-4163-B0A9-306D15684458}" name="day_2_accommodation" displayName="day_2_accommodation" ref="E71:I74" totalsRowShown="0">
  <autoFilter ref="E71:I74" xr:uid="{29091DEF-F35E-4163-B0A9-306D15684458}"/>
  <tableColumns count="5">
    <tableColumn id="1" xr3:uid="{6132C153-6A52-4090-B514-B5D318EB4961}" name="day_2_accommodation"/>
    <tableColumn id="2" xr3:uid="{4EF73802-B656-4B41-926D-745C137687BD}" name="day_2_address" dataDxfId="104">
      <calculatedColumnFormula>INDEX(supplier_information[Address],MATCH(day_2_accommodation[[#This Row],[day_2_accommodation]],supplier_information[Accommodation],0))</calculatedColumnFormula>
    </tableColumn>
    <tableColumn id="3" xr3:uid="{76CC9717-119B-406D-B025-2183BBFF8CBA}" name="number_of_rooms_booked" dataDxfId="103"/>
    <tableColumn id="4" xr3:uid="{476E7B2F-87E1-48C4-92B6-03338231289A}" name="bedding_config_booked"/>
    <tableColumn id="5" xr3:uid="{9A2D25FC-EBC4-47B6-8C03-3AC3D62254AC}" name="contact_details" dataDxfId="102">
      <calculatedColumnFormula>INDEX(supplier_information[Contact number],MATCH(day_2_accommodation[[#This Row],[day_2_accommodation]],supplier_information[Accommodation],0))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9E426DD-8117-4081-8A73-95F88744679F}" name="day_3_accommodation" displayName="day_3_accommodation" ref="E77:I80" totalsRowShown="0">
  <autoFilter ref="E77:I80" xr:uid="{E9E426DD-8117-4081-8A73-95F88744679F}"/>
  <tableColumns count="5">
    <tableColumn id="1" xr3:uid="{0B737662-6CF1-46C2-A4DE-CA7C05777B12}" name="day_3_accommodation"/>
    <tableColumn id="2" xr3:uid="{AE352700-5251-4424-95E1-59D858A8AA9B}" name="day_3_address" dataDxfId="101">
      <calculatedColumnFormula>INDEX(supplier_information[Address],MATCH(day_3_accommodation[[#This Row],[day_3_accommodation]],supplier_information[Accommodation],0))</calculatedColumnFormula>
    </tableColumn>
    <tableColumn id="3" xr3:uid="{FEE872D4-ED7F-47B6-BAEC-E126C73CC1CB}" name="number_of_rooms_booked" dataDxfId="100"/>
    <tableColumn id="4" xr3:uid="{C5C45097-BCFA-480C-A6C1-9E6A148DF82A}" name="bedding_config_booked"/>
    <tableColumn id="5" xr3:uid="{6442E2E1-F8F9-4B1A-99B8-B9D000BBC3FE}" name="contact_details" dataDxfId="99">
      <calculatedColumnFormula>INDEX(supplier_information[Contact number],MATCH(day_3_accommodation[[#This Row],[day_3_accommodation]],supplier_information[Accommodation],0))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E1DB2A51-5D8E-48F2-AF7F-9EB13BB1375B}" name="day_4_accommodation" displayName="day_4_accommodation" ref="E83:I86" totalsRowShown="0">
  <autoFilter ref="E83:I86" xr:uid="{E1DB2A51-5D8E-48F2-AF7F-9EB13BB1375B}"/>
  <tableColumns count="5">
    <tableColumn id="1" xr3:uid="{C6083B89-15F0-458B-A894-A3E84D093275}" name="day_4_accommodation"/>
    <tableColumn id="2" xr3:uid="{DFBCCB8C-E76E-411F-BC1F-C11E097CD9AC}" name="day_4_address" dataDxfId="98">
      <calculatedColumnFormula>INDEX(supplier_information[Address],MATCH(day_4_accommodation[[#This Row],[day_4_accommodation]],supplier_information[Accommodation],0))</calculatedColumnFormula>
    </tableColumn>
    <tableColumn id="3" xr3:uid="{6045AF16-8EA8-4AA7-9B5E-63E9ECCEAC03}" name="number_of_rooms_booked" dataDxfId="97"/>
    <tableColumn id="4" xr3:uid="{36FCD483-2EE8-447E-9A64-48842453DC8E}" name="bedding_config_booked"/>
    <tableColumn id="5" xr3:uid="{C3840DCF-4502-431E-A3FD-F3E0ED9778B0}" name="contact_details" dataDxfId="96">
      <calculatedColumnFormula>INDEX(supplier_information[Contact number],MATCH(day_4_accommodation[[#This Row],[day_4_accommodation]],supplier_information[Accommodation],0))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290FB66-9162-4E7F-834C-50240676A3A6}" name="day_5_accommodation" displayName="day_5_accommodation" ref="E89:I92" totalsRowShown="0">
  <autoFilter ref="E89:I92" xr:uid="{0290FB66-9162-4E7F-834C-50240676A3A6}"/>
  <tableColumns count="5">
    <tableColumn id="1" xr3:uid="{39D22CBB-05A6-4CD5-B7BA-9063395AD772}" name="day_5_accommodation" dataDxfId="95"/>
    <tableColumn id="2" xr3:uid="{3D382EA5-53D2-495A-A0CE-4DB71CB78D5F}" name="day_5_address" dataDxfId="94">
      <calculatedColumnFormula>INDEX(supplier_information[Address],MATCH(day_5_accommodation[[#This Row],[day_5_accommodation]],supplier_information[Accommodation],0))</calculatedColumnFormula>
    </tableColumn>
    <tableColumn id="3" xr3:uid="{6A709D64-8EA9-4CCE-B194-50BF33AA1A29}" name="number_of_rooms_booked" dataDxfId="93"/>
    <tableColumn id="4" xr3:uid="{C370F1E6-A99D-4466-90D2-B9EA95F2E6B8}" name="bedding_config_booked"/>
    <tableColumn id="5" xr3:uid="{BE9A8022-7D47-4E6C-8705-2A3EC961C212}" name="contact_details" dataDxfId="92">
      <calculatedColumnFormula>INDEX(supplier_information[Contact number],MATCH(day_5_accommodation[[#This Row],[day_5_accommodation]],supplier_information[Accommodation],0))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DC17F65F-8392-44E2-BB1D-87082CB4ADD0}" name="day_6_accommodation" displayName="day_6_accommodation" ref="E95:I99" totalsRowShown="0">
  <autoFilter ref="E95:I99" xr:uid="{DC17F65F-8392-44E2-BB1D-87082CB4ADD0}"/>
  <tableColumns count="5">
    <tableColumn id="1" xr3:uid="{58945D8D-4ECC-4338-91A3-DFB1B2516BE4}" name="day_6_accommodation" dataDxfId="91"/>
    <tableColumn id="2" xr3:uid="{6A637DEE-B6E4-4957-8318-2983B9C0608D}" name="day_6_address" dataDxfId="90">
      <calculatedColumnFormula>INDEX(supplier_information[Address],MATCH(day_6_accommodation[[#This Row],[day_6_accommodation]],supplier_information[Accommodation],0))</calculatedColumnFormula>
    </tableColumn>
    <tableColumn id="3" xr3:uid="{680C41E8-CBB4-455B-B4A5-1A9B4FFE1D0B}" name="number_of_rooms_booked"/>
    <tableColumn id="4" xr3:uid="{53862434-7B0B-4058-9261-870E63D42CD6}" name="bedding_config_booked"/>
    <tableColumn id="5" xr3:uid="{FCE22087-4CF7-49AE-9EAA-68ED28F9DD97}" name="contact_details" dataDxfId="89">
      <calculatedColumnFormula>INDEX(supplier_information[Contact number],MATCH(day_6_accommodation[[#This Row],[day_6_accommodation]],supplier_information[Accommodation],0))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069F740-9097-47B6-AB33-7DEF3717C93D}" name="day_7_accommodation" displayName="day_7_accommodation" ref="E102:I106" totalsRowShown="0">
  <autoFilter ref="E102:I106" xr:uid="{6069F740-9097-47B6-AB33-7DEF3717C93D}"/>
  <tableColumns count="5">
    <tableColumn id="1" xr3:uid="{AB298196-17D1-461F-8D8F-219ACFAD03DD}" name="day_7_accommodation" dataDxfId="88"/>
    <tableColumn id="2" xr3:uid="{4B0C763B-9FF5-4FD9-BDD8-7DBF610FDF10}" name="day_7_address" dataDxfId="87">
      <calculatedColumnFormula>INDEX(supplier_information[Address],MATCH(day_7_accommodation[[#This Row],[day_7_accommodation]],supplier_information[Accommodation],0))</calculatedColumnFormula>
    </tableColumn>
    <tableColumn id="3" xr3:uid="{9755BB64-5CA6-40E9-9434-25A67FD3A368}" name="number_of_rooms_booked" dataDxfId="86"/>
    <tableColumn id="4" xr3:uid="{3022B56C-D45C-4C62-8AB9-FF59003775AD}" name="bedding_config_booked"/>
    <tableColumn id="5" xr3:uid="{807B672A-D422-48B5-A61F-348A84C6724F}" name="contact_details" dataDxfId="85">
      <calculatedColumnFormula>INDEX(supplier_information[Contact number],MATCH(day_7_accommodation[[#This Row],[day_7_accommodation]],supplier_information[Accommodation],0))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E265ED6-2825-4EDF-9058-0D9CAD1D12BC}" name="day_8_accommodation" displayName="day_8_accommodation" ref="E109:I113" totalsRowShown="0">
  <autoFilter ref="E109:I113" xr:uid="{BE265ED6-2825-4EDF-9058-0D9CAD1D12BC}"/>
  <tableColumns count="5">
    <tableColumn id="1" xr3:uid="{6407E859-61E4-4F27-9E76-16EA9A9F551D}" name="day_8_accommodation" dataDxfId="84"/>
    <tableColumn id="2" xr3:uid="{346B100A-FD1F-4578-85C1-34683183A767}" name="day_8_address" dataDxfId="83">
      <calculatedColumnFormula>INDEX(supplier_information[Address],MATCH(day_8_accommodation[[#This Row],[day_8_accommodation]],supplier_information[Accommodation],0))</calculatedColumnFormula>
    </tableColumn>
    <tableColumn id="3" xr3:uid="{C0DA9A6C-250F-4987-AD06-69BAAF4175F0}" name="number_of_rooms_booked" dataDxfId="82"/>
    <tableColumn id="4" xr3:uid="{DC0B29A9-8A27-4333-9E56-EDF5AD3C20E8}" name="bedding_config_booked"/>
    <tableColumn id="5" xr3:uid="{C4445EF4-2ECE-4F49-A675-C5D9A119B8D5}" name="contact_details" dataDxfId="81">
      <calculatedColumnFormula>INDEX(supplier_information[Contact number],MATCH(day_8_accommodation[[#This Row],[day_8_accommodation]],supplier_information[Accommodation],0))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BDCEF8F-7F23-428C-92C4-1784AC3E213A}" name="day_9_accommodation" displayName="day_9_accommodation" ref="E117:I121" totalsRowShown="0">
  <autoFilter ref="E117:I121" xr:uid="{FBDCEF8F-7F23-428C-92C4-1784AC3E213A}"/>
  <tableColumns count="5">
    <tableColumn id="1" xr3:uid="{50C8E90C-22ED-4922-8183-AF4146B14FD9}" name="day_9_accommodation" dataDxfId="80"/>
    <tableColumn id="2" xr3:uid="{97CA767A-E93F-4E8C-887C-82E00ABACD78}" name="day_9_address" dataDxfId="79">
      <calculatedColumnFormula>INDEX(supplier_information[Address],MATCH(day_9_accommodation[[#This Row],[day_9_accommodation]],supplier_information[Accommodation],0))</calculatedColumnFormula>
    </tableColumn>
    <tableColumn id="3" xr3:uid="{AC86D239-45DF-4C1B-9772-3490AAE47DAB}" name="number_of_rooms_booked" dataDxfId="78"/>
    <tableColumn id="4" xr3:uid="{3C6606DF-63A7-4753-8E79-8B8775F599BB}" name="bedding_config_booked"/>
    <tableColumn id="5" xr3:uid="{1C50581B-3DF8-456B-AAB7-B22F025CF13B}" name="contact_details" dataDxfId="77">
      <calculatedColumnFormula>INDEX(supplier_information[Contact number],MATCH(day_9_accommodation[[#This Row],[day_9_accommodation]],supplier_information[Accommodation],0))</calculatedColumn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588DACF-98E4-49CA-90DE-0BA628E93F37}" name="day_10_accommodation" displayName="day_10_accommodation" ref="E124:I128" totalsRowShown="0">
  <autoFilter ref="E124:I128" xr:uid="{6588DACF-98E4-49CA-90DE-0BA628E93F37}"/>
  <tableColumns count="5">
    <tableColumn id="1" xr3:uid="{31190F25-DEA8-4E46-BB9A-228F2C4EA0FA}" name="day_10_accommodation" dataDxfId="76"/>
    <tableColumn id="2" xr3:uid="{BAFDC8B7-9659-4380-ADA3-9407CE82C41B}" name="day_10_address" dataDxfId="75">
      <calculatedColumnFormula>INDEX(supplier_information[Address],MATCH(day_10_accommodation[[#This Row],[day_10_accommodation]],supplier_information[Accommodation],0))</calculatedColumnFormula>
    </tableColumn>
    <tableColumn id="3" xr3:uid="{B338317F-3B6D-4DE6-B02B-703571965C72}" name="number_of_rooms_booked" dataDxfId="74"/>
    <tableColumn id="4" xr3:uid="{2BCC8EAC-5518-4780-83F9-A7572BAC0DE1}" name="bedding_config_booked"/>
    <tableColumn id="5" xr3:uid="{7EB449F3-6FBD-46F6-B2B0-ADA93AEC711E}" name="contact_details" dataDxfId="73">
      <calculatedColumnFormula>INDEX(supplier_information[Contact number],MATCH(day_10_accommodation[[#This Row],[day_10_accommodation]],supplier_information[Accommodation],0))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2096CF9-12D1-40D6-8D65-5A226C244826}" name="day_11_accommodation" displayName="day_11_accommodation" ref="E131:I135" totalsRowShown="0">
  <autoFilter ref="E131:I135" xr:uid="{B2096CF9-12D1-40D6-8D65-5A226C244826}"/>
  <tableColumns count="5">
    <tableColumn id="1" xr3:uid="{900FF38F-D3DD-4CF4-A490-9E70B9CA6909}" name="day_11_accommodation" dataDxfId="72"/>
    <tableColumn id="2" xr3:uid="{3815D0E2-A3FB-499B-A91E-809A7648052A}" name="day_11_address" dataDxfId="71">
      <calculatedColumnFormula>INDEX(supplier_information[Address],MATCH(day_11_accommodation[[#This Row],[day_11_accommodation]],supplier_information[Accommodation],0))</calculatedColumnFormula>
    </tableColumn>
    <tableColumn id="3" xr3:uid="{DE7AEDD8-AA13-471E-A3F9-DF51E2D4F414}" name="number_of_rooms_booked" dataDxfId="70"/>
    <tableColumn id="4" xr3:uid="{0DF229FE-8E73-4674-A44D-5F2510DFEBD2}" name="bedding_config_booked"/>
    <tableColumn id="5" xr3:uid="{9F0AF43E-CC4B-497B-B118-AC0F29186499}" name="contact_details" dataDxfId="69">
      <calculatedColumnFormula>INDEX(supplier_information[Contact number],MATCH(day_11_accommodation[[#This Row],[day_11_accommodation]],supplier_information[Accommodation],0))</calculatedColumn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6DC5AB2-49B0-4E0B-A325-572C745501A3}" name="Table1215222733" displayName="Table1215222733" ref="D57:P60" totalsRowShown="0" headerRowDxfId="68" tableBorderDxfId="67">
  <autoFilter ref="D57:P60" xr:uid="{E6DC5AB2-49B0-4E0B-A325-572C745501A3}"/>
  <tableColumns count="13">
    <tableColumn id="1" xr3:uid="{09C0D7DA-278D-435D-92ED-F666C3533DD3}" name="Item" dataDxfId="66"/>
    <tableColumn id="2" xr3:uid="{7017C0B6-BFDE-476C-842C-45662B87B9D0}" name="Day 1"/>
    <tableColumn id="3" xr3:uid="{08B694C3-B816-4A5C-8EA7-42395A64EADE}" name="Day 2"/>
    <tableColumn id="4" xr3:uid="{4FEA01C9-9313-4655-801A-1F7E497F0878}" name="Day 3"/>
    <tableColumn id="5" xr3:uid="{F5126227-44D3-4165-B294-719737A91589}" name="Day 4"/>
    <tableColumn id="6" xr3:uid="{1FC75D46-AD48-4992-A538-3F24DFA05CE7}" name="Day 5"/>
    <tableColumn id="7" xr3:uid="{B20636CA-946C-4707-82E1-EE0E07032B64}" name="Day 6"/>
    <tableColumn id="8" xr3:uid="{4862B5F3-5CC7-49B6-87FC-FA4B815AB905}" name="Day 7"/>
    <tableColumn id="9" xr3:uid="{24183843-67B5-40E2-9535-B6371A48B560}" name="Day 8"/>
    <tableColumn id="10" xr3:uid="{5BDF0E0D-204D-46D3-A80D-D23F7043DCE4}" name="Day 9"/>
    <tableColumn id="11" xr3:uid="{D3328113-ADF0-4447-AE84-3B21371209A5}" name="Day 10"/>
    <tableColumn id="12" xr3:uid="{D813F87F-FF63-4859-89BC-603DFEE5DC42}" name="Day 11"/>
    <tableColumn id="13" xr3:uid="{F5B91A46-44FA-4F0B-AF42-92BFDBDA8F22}" name="Day 12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B9A01118-AE06-4233-8EB0-B2F50B99779E}" name="dinner_menu_cli" displayName="dinner_menu_cli" ref="AA21:AA27" totalsRowShown="0">
  <autoFilter ref="AA21:AA27" xr:uid="{B9A01118-AE06-4233-8EB0-B2F50B99779E}"/>
  <tableColumns count="1">
    <tableColumn id="1" xr3:uid="{B9AD68CA-E6B9-4969-81BA-5323D69417FB}" name="dinner_menu_cli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A9EC365-8B95-4464-B0A5-F0E999BE7C7C}" name="lunch_menu_cli" displayName="lunch_menu_cli" ref="Z21:Z27" totalsRowShown="0">
  <autoFilter ref="Z21:Z27" xr:uid="{6A9EC365-8B95-4464-B0A5-F0E999BE7C7C}"/>
  <tableColumns count="1">
    <tableColumn id="1" xr3:uid="{A26C4AF1-8A45-4AE2-B465-B2D5B0C983E0}" name="lunch_menu_cli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177CDD41-68D5-42E8-860A-E4BD17D193D5}" name="breakfast_menu_cli" displayName="breakfast_menu_cli" ref="Y21:Y26" totalsRowShown="0">
  <autoFilter ref="Y21:Y26" xr:uid="{177CDD41-68D5-42E8-860A-E4BD17D193D5}"/>
  <tableColumns count="1">
    <tableColumn id="1" xr3:uid="{96CBF5E0-6D62-4624-8E6C-8749A1ACE30B}" name="breakfast_menu_cli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768B87A3-7A9E-49BE-B274-D180826F7007}" name="day_1_itinerary_highlights" displayName="day_1_itinerary_highlights" ref="E140:G141" totalsRowShown="0" headerRowDxfId="65" dataDxfId="64">
  <autoFilter ref="E140:G141" xr:uid="{768B87A3-7A9E-49BE-B274-D180826F7007}"/>
  <tableColumns count="3">
    <tableColumn id="1" xr3:uid="{B56FD813-479E-411F-93A0-B83D0FE67C5B}" name="Highlight 1" dataDxfId="63"/>
    <tableColumn id="2" xr3:uid="{CFD93EE7-9C8B-4FFD-8E27-3B0EC49E2742}" name="Highlight 2" dataDxfId="62"/>
    <tableColumn id="3" xr3:uid="{B2E6C7B6-B42A-481E-B518-09EC765E28D0}" name="Highlight 3" dataDxfId="61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396D82EB-BE54-45BB-AF11-18C8CFD26F1A}" name="day_2_itinerary_highights" displayName="day_2_itinerary_highights" ref="E144:G145" totalsRowShown="0" headerRowDxfId="60" dataDxfId="59">
  <autoFilter ref="E144:G145" xr:uid="{396D82EB-BE54-45BB-AF11-18C8CFD26F1A}"/>
  <tableColumns count="3">
    <tableColumn id="1" xr3:uid="{0653BF24-AF3D-43C8-89F1-B870888AEE22}" name="Highlight 1" dataDxfId="58"/>
    <tableColumn id="2" xr3:uid="{96162528-E156-465E-9B41-6CC2542B8B85}" name="Highlight 2" dataDxfId="57"/>
    <tableColumn id="3" xr3:uid="{99FD52F7-1528-4DE7-8194-56BDED29A755}" name="Highlight 3" dataDxfId="56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A5E07C81-5FA8-42FF-BD4E-0DCD0E027BFC}" name="day_3_itinerary_highights" displayName="day_3_itinerary_highights" ref="E148:G149" totalsRowShown="0" headerRowDxfId="55" dataDxfId="54">
  <autoFilter ref="E148:G149" xr:uid="{A5E07C81-5FA8-42FF-BD4E-0DCD0E027BFC}"/>
  <tableColumns count="3">
    <tableColumn id="1" xr3:uid="{93F67A09-01BC-421E-B40D-062C3E01E255}" name="Highlight 1" dataDxfId="53"/>
    <tableColumn id="2" xr3:uid="{85EEB543-82BC-4CE8-B6AC-7A0246E162B5}" name="Highlight 2" dataDxfId="52"/>
    <tableColumn id="3" xr3:uid="{B450C792-CBE4-4D0C-BD26-526764CFC4E4}" name="Highlight 3" dataDxfId="5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1D0F29C-570C-4314-8B89-7BA181B6E452}" name="day_4_itinerary_highights" displayName="day_4_itinerary_highights" ref="E152:H154" totalsRowShown="0" headerRowDxfId="50" dataDxfId="49">
  <autoFilter ref="E152:H154" xr:uid="{B1D0F29C-570C-4314-8B89-7BA181B6E452}"/>
  <tableColumns count="4">
    <tableColumn id="1" xr3:uid="{C893F404-4943-4EF5-BBC9-082C000C1CE2}" name="Highlight 1" dataDxfId="48"/>
    <tableColumn id="2" xr3:uid="{51833938-238E-4477-91B1-833A976030D9}" name="Highlight 2" dataDxfId="47"/>
    <tableColumn id="3" xr3:uid="{B463AD86-EE31-4806-91BD-639BAF3B1B39}" name="Highlight 3" dataDxfId="46"/>
    <tableColumn id="4" xr3:uid="{BAB564EF-CFE6-495F-A5BA-179EC409AE15}" name="Highlight 4" dataDxfId="45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F82230BF-E396-4D83-A1B5-0792E39CB251}" name="day_5_itinerary_highights" displayName="day_5_itinerary_highights" ref="E158:H160" totalsRowShown="0" headerRowDxfId="44" dataDxfId="43">
  <autoFilter ref="E158:H160" xr:uid="{F82230BF-E396-4D83-A1B5-0792E39CB251}"/>
  <tableColumns count="4">
    <tableColumn id="1" xr3:uid="{FD4733C4-AEA5-43F4-A70F-822D1B9B5EF0}" name="Highlight 1" dataDxfId="42"/>
    <tableColumn id="2" xr3:uid="{99E4A4EF-2E49-4A5F-ABBB-5654E26D5021}" name="Highlight 2" dataDxfId="41"/>
    <tableColumn id="3" xr3:uid="{9E906D40-7F96-43D7-9726-FB837E27DF42}" name="Highlight 3" dataDxfId="40"/>
    <tableColumn id="4" xr3:uid="{84E1BFC8-EB9C-4805-BB90-40F38E422576}" name="Highlight 4" dataDxfId="39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53CEC310-C827-4CBE-99A9-CE503839DBF9}" name="day_5_itinerary_highights46" displayName="day_5_itinerary_highights46" ref="E164:H166" totalsRowShown="0" headerRowDxfId="38" dataDxfId="37">
  <autoFilter ref="E164:H166" xr:uid="{53CEC310-C827-4CBE-99A9-CE503839DBF9}"/>
  <tableColumns count="4">
    <tableColumn id="1" xr3:uid="{E50EDB30-003C-4C62-BB5F-AD9E9B79383E}" name="Highlight 1" dataDxfId="36"/>
    <tableColumn id="2" xr3:uid="{494290DD-3614-47FD-9A97-CD8E3C146C6C}" name="Highlight 2" dataDxfId="35"/>
    <tableColumn id="3" xr3:uid="{83E3F797-E854-4383-863A-294E82FEC742}" name="Highlight 3" dataDxfId="34"/>
    <tableColumn id="4" xr3:uid="{4B9B6A1D-37A5-4326-961C-A64A6AC8D598}" name="Highlight 4" dataDxfId="33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61D5D8E-378C-416C-9D0A-7755C32047F6}" name="day_6_itinerary_highlights" displayName="day_6_itinerary_highlights" ref="E169:H170" totalsRowShown="0" headerRowDxfId="32" dataDxfId="31">
  <autoFilter ref="E169:H170" xr:uid="{061D5D8E-378C-416C-9D0A-7755C32047F6}"/>
  <tableColumns count="4">
    <tableColumn id="1" xr3:uid="{4B0636C3-F0C5-490C-B470-D6A417587D7D}" name="Highlight 1" dataDxfId="30"/>
    <tableColumn id="2" xr3:uid="{15424866-072F-492D-BB19-221AD49DDDB7}" name="Highlight 2" dataDxfId="29"/>
    <tableColumn id="3" xr3:uid="{7DE1D324-405B-46CD-9552-EA4DD2295061}" name="Highlight 3" dataDxfId="28"/>
    <tableColumn id="4" xr3:uid="{E984615F-734E-473C-8803-906E3758E731}" name="Highlight 4" dataDxfId="27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4046F84-C1A0-418D-9ECA-7E5CB2094451}" name="day_7_itinerary_highlights" displayName="day_7_itinerary_highlights" ref="E174:H175" totalsRowShown="0" headerRowDxfId="26" dataDxfId="25">
  <autoFilter ref="E174:H175" xr:uid="{F4046F84-C1A0-418D-9ECA-7E5CB2094451}"/>
  <tableColumns count="4">
    <tableColumn id="1" xr3:uid="{112D940E-4AF4-4A19-9887-EE0E064CCFA7}" name="Highlight 1" dataDxfId="24"/>
    <tableColumn id="2" xr3:uid="{92078389-3A37-444A-95BD-616509FF4872}" name="Highlight 2" dataDxfId="23"/>
    <tableColumn id="3" xr3:uid="{F8235832-18A2-473B-877A-53E0CC80E868}" name="Highlight 3" dataDxfId="22"/>
    <tableColumn id="4" xr3:uid="{97853618-B3AD-4811-AC42-BF0E48C4A832}" name="Highlight 4" dataDxfId="21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20C646D6-69EE-4B1B-BC1A-810E16AC1E7C}" name="day_8_itinerary_highlights" displayName="day_8_itinerary_highlights" ref="E179:H180" totalsRowShown="0" headerRowDxfId="20" dataDxfId="19">
  <autoFilter ref="E179:H180" xr:uid="{20C646D6-69EE-4B1B-BC1A-810E16AC1E7C}"/>
  <tableColumns count="4">
    <tableColumn id="1" xr3:uid="{8B139BE6-8182-4AFB-AECD-A71803F6B43E}" name="Highlight 1" dataDxfId="18"/>
    <tableColumn id="2" xr3:uid="{167F5FBE-A1CF-4F6D-AF78-1E5918144599}" name="Highlight 2" dataDxfId="17"/>
    <tableColumn id="3" xr3:uid="{0B8AF75D-4B0A-4BB9-A0D0-908468051EC9}" name="Highlight 3" dataDxfId="16"/>
    <tableColumn id="4" xr3:uid="{1D9F73C1-4BD7-4CD4-9BE1-CC4340EFFAEC}" name="Highlight 4" dataDxfId="15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23DE59EC-6D24-4487-AD55-B084BE8FA9D9}" name="day_9_itinerary_highlights" displayName="day_9_itinerary_highlights" ref="E184:H185" totalsRowShown="0" headerRowDxfId="14" dataDxfId="13">
  <autoFilter ref="E184:H185" xr:uid="{23DE59EC-6D24-4487-AD55-B084BE8FA9D9}"/>
  <tableColumns count="4">
    <tableColumn id="1" xr3:uid="{D6A35C13-75C2-4C80-A394-3606257393B2}" name="Highlight 1" dataDxfId="12"/>
    <tableColumn id="2" xr3:uid="{4A4B82A4-4896-4DE9-8C60-29C6BBED9BA3}" name="Highlight 2" dataDxfId="11"/>
    <tableColumn id="3" xr3:uid="{09CFB90A-4589-4ACA-84A6-31FE9896220B}" name="Highlight 3" dataDxfId="10"/>
    <tableColumn id="4" xr3:uid="{BF8AAF2D-B4D7-4DD5-99AF-75B7884AD372}" name="Highlight 4" dataDxfId="9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C2818206-AE8C-487D-AFFA-B0A3263C341D}" name="day_10_itinerary_highlights" displayName="day_10_itinerary_highlights" ref="E189:H190" totalsRowShown="0">
  <autoFilter ref="E189:H190" xr:uid="{C2818206-AE8C-487D-AFFA-B0A3263C341D}"/>
  <tableColumns count="4">
    <tableColumn id="1" xr3:uid="{EA6AC8C5-A8D3-4354-B89E-A9EF098478EE}" name="Highlight 1"/>
    <tableColumn id="2" xr3:uid="{57D8BBFA-6377-4521-9D47-9C5DCCD72D42}" name="Highlight 2"/>
    <tableColumn id="3" xr3:uid="{535CE6E3-EE6A-4E49-B12B-BA79CD73BD6C}" name="Highlight 3"/>
    <tableColumn id="4" xr3:uid="{F8EE2B9D-C7D2-47D0-9DCC-61AAEEA89680}" name="Highlight 4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F098F875-4785-4F0F-9C38-00CA542FEAF7}" name="day_11_itinerary_highlights" displayName="day_11_itinerary_highlights" ref="E193:H194" totalsRowShown="0">
  <autoFilter ref="E193:H194" xr:uid="{F098F875-4785-4F0F-9C38-00CA542FEAF7}"/>
  <tableColumns count="4">
    <tableColumn id="1" xr3:uid="{5967F070-3709-4F6F-BB09-E43BEB7FFD2E}" name="Highlight 1"/>
    <tableColumn id="2" xr3:uid="{FE133F5F-BAD9-4ACD-B4A6-4054E8821933}" name="Highlight 2"/>
    <tableColumn id="3" xr3:uid="{74F9C808-5618-422B-9614-12E5A32823A9}" name="Highlight 3"/>
    <tableColumn id="4" xr3:uid="{15F8B4B3-BDF8-46D1-81B3-F3B10B9F499E}" name="Highlight 4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8C6F5941-F6AF-4FC4-A4B8-5E65E17E5887}" name="supplier_information" displayName="supplier_information" ref="L64:N85" totalsRowShown="0" headerRowDxfId="8">
  <autoFilter ref="L64:N85" xr:uid="{8C6F5941-F6AF-4FC4-A4B8-5E65E17E5887}"/>
  <sortState xmlns:xlrd2="http://schemas.microsoft.com/office/spreadsheetml/2017/richdata2" ref="L65:N84">
    <sortCondition ref="L64:L84"/>
  </sortState>
  <tableColumns count="3">
    <tableColumn id="1" xr3:uid="{4BC570AF-DA51-4C46-9C5F-911AFC6ED871}" name="Accommodation" dataDxfId="7"/>
    <tableColumn id="2" xr3:uid="{6529E574-F12C-4829-9109-1EA3138EBF8D}" name="Address" dataDxfId="6"/>
    <tableColumn id="3" xr3:uid="{AD910811-818B-4B4B-8B6F-8177ED657911}" name="Contact number" dataDxfId="5" dataCellStyle="Hyperlink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C92BBF73-C37A-446A-BE0B-BF2C3949DEED}" name="flight" displayName="flight" ref="E197:G198" totalsRowShown="0" headerRowDxfId="4" dataDxfId="3">
  <autoFilter ref="E197:G198" xr:uid="{C92BBF73-C37A-446A-BE0B-BF2C3949DEED}"/>
  <tableColumns count="3">
    <tableColumn id="1" xr3:uid="{FD4F5448-A7F7-4AD2-A2D8-B4BDB577EB6C}" name="Flight Time" dataDxfId="2"/>
    <tableColumn id="2" xr3:uid="{31C5DFDA-16D6-4208-B8FC-491140080AF7}" name="Flight Dep" dataDxfId="1"/>
    <tableColumn id="3" xr3:uid="{1A5558AA-C22D-4CD7-9F63-EBB2F47A4EF9}" name="Flight Referenc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.xml"/><Relationship Id="rId5" Type="http://schemas.openxmlformats.org/officeDocument/2006/relationships/image" Target="../media/image5.emf"/><Relationship Id="rId4" Type="http://schemas.openxmlformats.org/officeDocument/2006/relationships/control" Target="../activeX/activeX2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4.xml"/><Relationship Id="rId18" Type="http://schemas.openxmlformats.org/officeDocument/2006/relationships/table" Target="../tables/table9.xml"/><Relationship Id="rId26" Type="http://schemas.openxmlformats.org/officeDocument/2006/relationships/table" Target="../tables/table17.xml"/><Relationship Id="rId39" Type="http://schemas.openxmlformats.org/officeDocument/2006/relationships/table" Target="../tables/table30.xml"/><Relationship Id="rId21" Type="http://schemas.openxmlformats.org/officeDocument/2006/relationships/table" Target="../tables/table12.xml"/><Relationship Id="rId34" Type="http://schemas.openxmlformats.org/officeDocument/2006/relationships/table" Target="../tables/table25.xml"/><Relationship Id="rId42" Type="http://schemas.openxmlformats.org/officeDocument/2006/relationships/table" Target="../tables/table33.xml"/><Relationship Id="rId47" Type="http://schemas.openxmlformats.org/officeDocument/2006/relationships/table" Target="../tables/table38.xml"/><Relationship Id="rId50" Type="http://schemas.openxmlformats.org/officeDocument/2006/relationships/table" Target="../tables/table41.xml"/><Relationship Id="rId55" Type="http://schemas.openxmlformats.org/officeDocument/2006/relationships/table" Target="../tables/table46.xml"/><Relationship Id="rId7" Type="http://schemas.openxmlformats.org/officeDocument/2006/relationships/hyperlink" Target="https://www.google.com.au/search?q=River+of+Gold+Motel&amp;hotel_occupancy=2&amp;sxsrf=ALiCzsYXmLaaVMoepJkKQwe5Tir1p3-Sxw%3A1659320753501&amp;ei=sTnnYramHuagseMP2KOKkAI&amp;ved=0ahUKEwj2wtLAy6T5AhVmUGwGHdiRAiIQ4dUDCA4&amp;uact=5&amp;oq=River+of+Gold+Motel&amp;gs_lcp=Cgdnd3Mtd2l6EANKBAhBGABKBAhGGABQAFgAYH1oAHABeACAAQCIAQCSAQCYAQCgAQKgAQHAAQE&amp;sclient=gws-wiz" TargetMode="External"/><Relationship Id="rId2" Type="http://schemas.openxmlformats.org/officeDocument/2006/relationships/hyperlink" Target="https://www.google.com.au/search?q=Mungumby+Lodge&amp;sxsrf=ALiCzsahjLCNkVZqmTSraqkhCYikFnel4w%3A1658365213369&amp;ei=HaXYYsqWFpLMseMPrZCaoA0&amp;hotel_occupancy=2&amp;ved=0ahUKEwiKmc3r44j5AhUSZmwGHS2IBtQQ4dUDCA4&amp;uact=5&amp;oq=Mungumby+Lodge&amp;gs_lcp=Cgdnd3Mtd2l6EAMyBAgjECcyCwguEIAEEMcBEK8BMgUIABCABDIGCAAQHhAWOgoILhDHARCvARBDOgsIABCABBCxAxCDAToOCC4QgAQQsQMQxwEQ0QM6EQguEIAEELEDEIMBEMcBENEDOgsILhCABBCxAxCDAToFCAAQkQI6BAgAEEM6DgguELEDEIMBEMcBENEDOggIABDJAxCRAjoOCC4QgAQQsQMQgwEQ1AI6CAguEIAEELEDOgUILhCABDoOCC4QgAQQxwEQrwEQ1AI6BAguEEM6CgguELEDEIMBEEM6CgguEIAEENQCEAo6BwgAEIAEEAo6CwguEMcBEK8BEJECOgYIABAeEAo6BAgAEB46CAgAEB4QBRAKSgQIQRgASgQIRhgAUABYhhJg7RJoAHABeACAAbUCiAG7FZIBBzAuNi42LjGYAQCgAQHAAQE&amp;sclient=gws-wiz" TargetMode="External"/><Relationship Id="rId16" Type="http://schemas.openxmlformats.org/officeDocument/2006/relationships/table" Target="../tables/table7.xml"/><Relationship Id="rId29" Type="http://schemas.openxmlformats.org/officeDocument/2006/relationships/table" Target="../tables/table20.xml"/><Relationship Id="rId11" Type="http://schemas.openxmlformats.org/officeDocument/2006/relationships/table" Target="../tables/table2.xml"/><Relationship Id="rId24" Type="http://schemas.openxmlformats.org/officeDocument/2006/relationships/table" Target="../tables/table15.xml"/><Relationship Id="rId32" Type="http://schemas.openxmlformats.org/officeDocument/2006/relationships/table" Target="../tables/table23.xml"/><Relationship Id="rId37" Type="http://schemas.openxmlformats.org/officeDocument/2006/relationships/table" Target="../tables/table28.xml"/><Relationship Id="rId40" Type="http://schemas.openxmlformats.org/officeDocument/2006/relationships/table" Target="../tables/table31.xml"/><Relationship Id="rId45" Type="http://schemas.openxmlformats.org/officeDocument/2006/relationships/table" Target="../tables/table36.xml"/><Relationship Id="rId53" Type="http://schemas.openxmlformats.org/officeDocument/2006/relationships/table" Target="../tables/table44.xml"/><Relationship Id="rId58" Type="http://schemas.openxmlformats.org/officeDocument/2006/relationships/table" Target="../tables/table49.xml"/><Relationship Id="rId5" Type="http://schemas.openxmlformats.org/officeDocument/2006/relationships/hyperlink" Target="https://www.google.com.au/search?q=mena+creek+hotel&amp;sxsrf=ALiCzsYFeJDrk5paTHbinoW7MH0NpAtIpg%3A1658234628060&amp;ei=BKfWYqimA8GRseMP8ei96Ag&amp;ved=0ahUKEwiouNav_YT5AhXBSGwGHXF0D40Q4dUDCA4&amp;uact=5&amp;oq=mena+creek+hotel&amp;gs_lcp=Cgdnd3Mtd2l6EAMyBAgjECcyCwguEIAEEMcBEK8BMgUIABCABDIICAAQgAQQyQMyBQgAEIAEMgYIABAeEBY6BwgjEOoCECc6DQguEMcBEK8BEOoCECc6BAguEEM6BwguENQCEEM6CggAELEDEIMBEEM6CAguELEDEIMBOgoILhDHARCvARBDOggIABCxAxCDAToECAAQQzoOCC4QsQMQgwEQxwEQ0QM6EQguEIAEELEDEIMBEMcBEK8BOgsIABCABBCxAxCDAToRCC4QgAQQsQMQgwEQxwEQ0QM6CAguEIAEENQCOggIABCABBCxAzoKCC4QxwEQ0QMQQzoHCAAQyQMQQzoHCC4QsQMQQzoFCC4QgAQ6CwguEIAEELEDEIMBOgoILhCxAxCDARBDOgoIABCABBCHAhAUOhAILhCABBCHAhDHARCvARAUOgUIABCGA0oECEEYAEoECEYYAFAAWI0ZYPIaaAFwAXgAgAHmAYgBhRqSAQYwLjQuMTKYAQCgAQGwAQrAAQE&amp;sclient=gws-wiz" TargetMode="External"/><Relationship Id="rId61" Type="http://schemas.openxmlformats.org/officeDocument/2006/relationships/table" Target="../tables/table52.xml"/><Relationship Id="rId19" Type="http://schemas.openxmlformats.org/officeDocument/2006/relationships/table" Target="../tables/table10.xml"/><Relationship Id="rId14" Type="http://schemas.openxmlformats.org/officeDocument/2006/relationships/table" Target="../tables/table5.xml"/><Relationship Id="rId22" Type="http://schemas.openxmlformats.org/officeDocument/2006/relationships/table" Target="../tables/table13.xml"/><Relationship Id="rId27" Type="http://schemas.openxmlformats.org/officeDocument/2006/relationships/table" Target="../tables/table18.xml"/><Relationship Id="rId30" Type="http://schemas.openxmlformats.org/officeDocument/2006/relationships/table" Target="../tables/table21.xml"/><Relationship Id="rId35" Type="http://schemas.openxmlformats.org/officeDocument/2006/relationships/table" Target="../tables/table26.xml"/><Relationship Id="rId43" Type="http://schemas.openxmlformats.org/officeDocument/2006/relationships/table" Target="../tables/table34.xml"/><Relationship Id="rId48" Type="http://schemas.openxmlformats.org/officeDocument/2006/relationships/table" Target="../tables/table39.xml"/><Relationship Id="rId56" Type="http://schemas.openxmlformats.org/officeDocument/2006/relationships/table" Target="../tables/table47.xml"/><Relationship Id="rId8" Type="http://schemas.openxmlformats.org/officeDocument/2006/relationships/hyperlink" Target="https://www.google.com.au/search?q=sheridan+cairns&amp;hotel_occupancy=2&amp;sxsrf=ALiCzsbMOjrXQH1_XnGjecN2W5HXIKjoGQ%3A1659321137639&amp;ei=MTvnYpfJJpqQseMPxaeU-Ak&amp;ved=0ahUKEwjXpej3zKT5AhUaSGwGHcUTBZ8Q4dUDCA4&amp;uact=5&amp;oq=sheridan+cairns&amp;gs_lcp=Cgdnd3Mtd2l6EAMyBAgjECcyCwguEIAEEMcBEK8BMgUIABCABDIGCAAQHhAWMgYIABAeEBYyCQgAEB4QyQMQFjIGCAAQHhAWMgYIABAeEBYyBggAEB4QFjIGCAAQHhAWOhEILhCABBCxAxCDARDHARDRAzoLCC4QgAQQxwEQ0QM6CwgAEIAEELEDEIMBOhAILhCxAxCDARDHARDRAxBDOg4ILhCABBCxAxCDARDUAjoLCC4QgAQQsQMQgwE6BAguEEM6EQguEIAEELEDEIMBEMcBEK8BOhEILhCxAxCDARDHARCvARCRAjoKCC4QxwEQ0QMQQzoKCC4QxwEQrwEQQzoHCAAQsQMQQzoECAAQQzoLCC4QxwEQrwEQkQI6CggAELEDEIMBEEM6DQguEIAEEMcBEK8BEAo6DQguELEDEIMBENQCEEM6CAguEIAEELEDOgoILhDHARCvARAKOgcIABCxAxAKOhAILhCxAxCDARDHARCvARAKOg0ILhCxAxDHARCvARAKOgUILhCABDoICAAQHhAWEApKBAhBGABKBAhGGABQAFiPEmDHE2gAcAF4AIAB9gKIAcgYkgEHMC42LjcuMZgBAKABAcABAQ&amp;sclient=gws-wiz" TargetMode="External"/><Relationship Id="rId51" Type="http://schemas.openxmlformats.org/officeDocument/2006/relationships/table" Target="../tables/table42.xml"/><Relationship Id="rId3" Type="http://schemas.openxmlformats.org/officeDocument/2006/relationships/hyperlink" Target="https://www.google.com.au/search?q=Lions+Den+Hotel+&amp;hotel_occupancy=2&amp;sxsrf=ALiCzsY72YJ2t1rx65S2QCAczEM1B5QJmg%3A1658365498068&amp;ei=OqbYYvrsA-KdseMPy_it0Ao&amp;ved=0ahUKEwj68a3z5Ij5AhXiTmwGHUt8C6oQ4dUDCA4&amp;uact=5&amp;oq=Lions+Den+Hotel+&amp;gs_lcp=Cgdnd3Mtd2l6EAMyBQgAEIAEMgUIABCABDILCC4QgAQQxwEQrwEyBQgAEIAEMgUIABCABDIICAAQgAQQyQMyBQgAEIAEMgUIABCABDIFCAAQgAQyBQgAEIAEOhEILhCABBCxAxCDARDHARCvAToFCAAQkQJKBAhBGABKBAhGGABQAFiuCGC-F2gAcAF4AIABtQKIAfoDkgEHMC4xLjAuMZgBAKABAqABAcABAQ&amp;sclient=gws-wiz" TargetMode="External"/><Relationship Id="rId12" Type="http://schemas.openxmlformats.org/officeDocument/2006/relationships/table" Target="../tables/table3.xml"/><Relationship Id="rId17" Type="http://schemas.openxmlformats.org/officeDocument/2006/relationships/table" Target="../tables/table8.xml"/><Relationship Id="rId25" Type="http://schemas.openxmlformats.org/officeDocument/2006/relationships/table" Target="../tables/table16.xml"/><Relationship Id="rId33" Type="http://schemas.openxmlformats.org/officeDocument/2006/relationships/table" Target="../tables/table24.xml"/><Relationship Id="rId38" Type="http://schemas.openxmlformats.org/officeDocument/2006/relationships/table" Target="../tables/table29.xml"/><Relationship Id="rId46" Type="http://schemas.openxmlformats.org/officeDocument/2006/relationships/table" Target="../tables/table37.xml"/><Relationship Id="rId59" Type="http://schemas.openxmlformats.org/officeDocument/2006/relationships/table" Target="../tables/table50.xml"/><Relationship Id="rId20" Type="http://schemas.openxmlformats.org/officeDocument/2006/relationships/table" Target="../tables/table11.xml"/><Relationship Id="rId41" Type="http://schemas.openxmlformats.org/officeDocument/2006/relationships/table" Target="../tables/table32.xml"/><Relationship Id="rId54" Type="http://schemas.openxmlformats.org/officeDocument/2006/relationships/table" Target="../tables/table45.xml"/><Relationship Id="rId62" Type="http://schemas.openxmlformats.org/officeDocument/2006/relationships/table" Target="../tables/table53.xml"/><Relationship Id="rId1" Type="http://schemas.openxmlformats.org/officeDocument/2006/relationships/hyperlink" Target="https://www.google.com.au/search?q=chillagoe+cabins&amp;sxsrf=ALiCzsZ0mLZOEJOHa7VbpCXP9j_WuHKrrw%3A1658364039454&amp;source=hp&amp;ei=h6DYYpSuGd3QseMP7vGesAQ&amp;iflsig=AJiK0e8AAAAAYtiulyPJxAs83Gv5Y8QnideNBGbbxiVg&amp;ved=0ahUKEwjUjem734j5AhVdaGwGHe64B0YQ4dUDCAk&amp;uact=5&amp;oq=chillagoe+cabins&amp;gs_lcp=Cgdnd3Mtd2l6EAMyBAgjECcyCwguEIAEEMcBEK8BMggIABCABBDJAzIFCAAQhgMyBQgAEIYDOhEILhCABBCxAxCDARDHARDRAzoLCAAQgAQQsQMQgwE6BQguEIAEOgUIABCABDoFCAAQkgM6DgguEIAEELEDEIMBENQCOg4IABCABBCxAxCDARDJAzoICC4QgAQQsQM6CwguEIAEELEDEIMBOgoIABCxAxCDARAKOgoILhDHARCvARAKOgQIABAKUABYkxBgthFoAHAAeACAAcwEiAGwIJIBCTItNy40LjAuMpgBAKABAQ&amp;sclient=gws-wiz" TargetMode="External"/><Relationship Id="rId6" Type="http://schemas.openxmlformats.org/officeDocument/2006/relationships/hyperlink" Target="https://www.google.com.au/search?q=mena+creek+flower+house&amp;sxsrf=ALiCzsb6lHkpZJN3UWahhcK502Ljy-lymg%3A1659316479458&amp;source=hp&amp;ei=_yjnYra9GeWc4-EP5-uHqAE&amp;iflsig=AJiK0e8AAAAAYuc3D4PwdSWqbvmC_ATa_wVHxFVSpvfk&amp;ved=0ahUKEwj2uM3Ku6T5AhVlzjgGHef1ARUQ4dUDCAk&amp;uact=5&amp;oq=mena+creek+flower+house&amp;gs_lcp=Cgdnd3Mtd2l6EAMyBAgjECcyCwguEIAEEMcBEK8BMgUIABCGAzIFCAAQhgM6CwgAEIAEELEDEIMBOhEILhCABBCxAxCDARDHARDRAzoLCC4QgAQQsQMQgwE6CAgAEIAEELEDOgUIABCABDoICC4QgAQQ1AI6DgguEIAEELEDEMcBENEDOggILhCABBCxAzoLCC4QgAQQsQMQ1AI6BQguEIAEOggIABCxAxCDAToOCC4QgAQQsQMQgwEQ1AI6EAguEIAEEIcCEMcBEK8BEBQ6CggAEIAEEIcCEBQ6CQgAEB4QyQMQFjoGCAAQHhAWOggIABAeEBYQClAAWPMjYKklaAFwAHgAgAHLAogBlyiSAQgwLjExLjkuM5gBAKABAQ&amp;sclient=gws-wiz" TargetMode="External"/><Relationship Id="rId15" Type="http://schemas.openxmlformats.org/officeDocument/2006/relationships/table" Target="../tables/table6.xml"/><Relationship Id="rId23" Type="http://schemas.openxmlformats.org/officeDocument/2006/relationships/table" Target="../tables/table14.xml"/><Relationship Id="rId28" Type="http://schemas.openxmlformats.org/officeDocument/2006/relationships/table" Target="../tables/table19.xml"/><Relationship Id="rId36" Type="http://schemas.openxmlformats.org/officeDocument/2006/relationships/table" Target="../tables/table27.xml"/><Relationship Id="rId49" Type="http://schemas.openxmlformats.org/officeDocument/2006/relationships/table" Target="../tables/table40.xml"/><Relationship Id="rId57" Type="http://schemas.openxmlformats.org/officeDocument/2006/relationships/table" Target="../tables/table48.xml"/><Relationship Id="rId10" Type="http://schemas.openxmlformats.org/officeDocument/2006/relationships/table" Target="../tables/table1.xml"/><Relationship Id="rId31" Type="http://schemas.openxmlformats.org/officeDocument/2006/relationships/table" Target="../tables/table22.xml"/><Relationship Id="rId44" Type="http://schemas.openxmlformats.org/officeDocument/2006/relationships/table" Target="../tables/table35.xml"/><Relationship Id="rId52" Type="http://schemas.openxmlformats.org/officeDocument/2006/relationships/table" Target="../tables/table43.xml"/><Relationship Id="rId60" Type="http://schemas.openxmlformats.org/officeDocument/2006/relationships/table" Target="../tables/table51.xml"/><Relationship Id="rId4" Type="http://schemas.openxmlformats.org/officeDocument/2006/relationships/hyperlink" Target="https://www.google.com.au/search?q=paronella+park&amp;sxsrf=ALiCzsbsVx6oSxosdzpF00YsTnNmCDyzFA%3A1658234617111&amp;ei=-abWYpewBtSVseMPr4in0As&amp;ved=0ahUKEwjXkLqq_YT5AhXUSmwGHS_ECboQ4dUDCA4&amp;uact=5&amp;oq=paronella+park&amp;gs_lcp=Cgdnd3Mtd2l6EAMyBAgjECcyEQguEIAEELEDEIMBEMcBEK8BMgUIABCRAjIFCAAQgAQyBQgAEIAEMgUIABCABDIFCAAQgAQyBQgAEIAEMgUIABCABDIFCAAQgAQ6BAgAEEc6BggAEB4QFkoECEEYAEoECEYYAFCrAljABmCECWgAcAJ4AIABhwKIAZ4FkgEFMC4xLjKYAQCgAQHIAQjAAQE&amp;sclient=gws-wiz" TargetMode="External"/><Relationship Id="rId9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www.xelplus.com/list-box-to-print-multiple-sheets-excel-vb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E88FA-F3B4-4B0A-B1C9-35FA8373CCEB}">
  <sheetPr codeName="Sheet19"/>
  <dimension ref="A1:AV77"/>
  <sheetViews>
    <sheetView tabSelected="1" topLeftCell="A33" zoomScaleNormal="100" workbookViewId="0">
      <selection activeCell="B48" sqref="B48"/>
    </sheetView>
  </sheetViews>
  <sheetFormatPr defaultColWidth="0" defaultRowHeight="0" customHeight="1" zeroHeight="1" x14ac:dyDescent="0.3"/>
  <cols>
    <col min="1" max="1" width="2.77734375" style="154" customWidth="1"/>
    <col min="2" max="2" width="26.77734375" style="152" customWidth="1"/>
    <col min="3" max="3" width="2.77734375" style="154" customWidth="1"/>
    <col min="4" max="4" width="1.77734375" style="152" customWidth="1"/>
    <col min="5" max="5" width="26.77734375" style="153" customWidth="1"/>
    <col min="6" max="6" width="2.77734375" style="154" customWidth="1"/>
    <col min="7" max="7" width="2.77734375" style="198" customWidth="1"/>
    <col min="8" max="8" width="28.21875" style="195" bestFit="1" customWidth="1"/>
    <col min="9" max="9" width="2.77734375" style="198" customWidth="1"/>
    <col min="10" max="10" width="2.77734375" style="202" customWidth="1"/>
    <col min="11" max="11" width="26.77734375" style="203" customWidth="1"/>
    <col min="12" max="12" width="2.77734375" style="202" customWidth="1"/>
    <col min="13" max="13" width="2.77734375" style="154" customWidth="1"/>
    <col min="14" max="14" width="26.77734375" style="152" customWidth="1"/>
    <col min="15" max="15" width="2.77734375" style="154" customWidth="1"/>
    <col min="16" max="17" width="1.77734375" style="152" customWidth="1"/>
    <col min="18" max="18" width="34.33203125" style="153" bestFit="1" customWidth="1"/>
    <col min="19" max="20" width="2.77734375" style="154" customWidth="1"/>
    <col min="21" max="21" width="26.77734375" style="152" customWidth="1"/>
    <col min="22" max="23" width="2.77734375" style="154" customWidth="1"/>
    <col min="24" max="24" width="26.77734375" style="152" customWidth="1"/>
    <col min="25" max="26" width="2.77734375" style="154" customWidth="1"/>
    <col min="27" max="27" width="26.77734375" style="152" customWidth="1"/>
    <col min="28" max="28" width="2.77734375" style="154" customWidth="1"/>
    <col min="29" max="29" width="2.77734375" style="152" customWidth="1"/>
    <col min="30" max="31" width="1.77734375" style="152" hidden="1" customWidth="1"/>
    <col min="32" max="16384" width="8.88671875" style="152" hidden="1"/>
  </cols>
  <sheetData>
    <row r="1" spans="1:48" ht="19.95" hidden="1" customHeight="1" x14ac:dyDescent="0.3"/>
    <row r="2" spans="1:48" ht="12" customHeight="1" thickBot="1" x14ac:dyDescent="0.35">
      <c r="A2" s="158"/>
      <c r="B2" s="160"/>
      <c r="C2" s="158"/>
      <c r="D2" s="155"/>
      <c r="E2" s="156"/>
      <c r="F2" s="157"/>
      <c r="M2" s="158"/>
      <c r="N2" s="160"/>
      <c r="O2" s="158"/>
      <c r="P2" s="155"/>
      <c r="Q2" s="155"/>
      <c r="R2" s="156"/>
      <c r="S2" s="157"/>
      <c r="T2" s="157"/>
      <c r="U2" s="155"/>
      <c r="V2" s="157"/>
      <c r="W2" s="158"/>
      <c r="X2" s="160"/>
      <c r="Y2" s="158"/>
      <c r="Z2" s="157"/>
      <c r="AA2" s="155"/>
      <c r="AB2" s="157"/>
      <c r="AC2" s="155"/>
    </row>
    <row r="3" spans="1:48" ht="25.05" customHeight="1" thickTop="1" thickBot="1" x14ac:dyDescent="0.35">
      <c r="A3" s="158"/>
      <c r="B3" s="316" t="s">
        <v>291</v>
      </c>
      <c r="C3" s="158"/>
      <c r="D3" s="155"/>
      <c r="E3" s="161" t="s">
        <v>248</v>
      </c>
      <c r="F3" s="157"/>
      <c r="H3" s="196" t="s">
        <v>249</v>
      </c>
      <c r="K3" s="204" t="s">
        <v>247</v>
      </c>
      <c r="M3" s="158"/>
      <c r="N3" s="316" t="s">
        <v>250</v>
      </c>
      <c r="O3" s="158"/>
      <c r="P3" s="155"/>
      <c r="Q3" s="155"/>
      <c r="R3" s="161" t="s">
        <v>262</v>
      </c>
      <c r="S3" s="157"/>
      <c r="T3" s="157"/>
      <c r="U3" s="161" t="s">
        <v>241</v>
      </c>
      <c r="V3" s="157"/>
      <c r="W3" s="158"/>
      <c r="X3" s="162" t="s">
        <v>242</v>
      </c>
      <c r="Y3" s="158"/>
      <c r="Z3" s="157"/>
      <c r="AA3" s="161" t="s">
        <v>243</v>
      </c>
      <c r="AB3" s="157"/>
      <c r="AC3" s="155"/>
      <c r="AV3" s="163" t="s">
        <v>244</v>
      </c>
    </row>
    <row r="4" spans="1:48" ht="12" customHeight="1" thickTop="1" thickBot="1" x14ac:dyDescent="0.35">
      <c r="A4" s="158"/>
      <c r="B4" s="317"/>
      <c r="C4" s="158"/>
      <c r="D4" s="155"/>
      <c r="E4" s="155"/>
      <c r="F4" s="157"/>
      <c r="H4" s="197"/>
      <c r="M4" s="158"/>
      <c r="N4" s="317"/>
      <c r="O4" s="158"/>
      <c r="P4" s="155"/>
      <c r="Q4" s="155"/>
      <c r="R4" s="155"/>
      <c r="S4" s="157"/>
      <c r="T4" s="157"/>
      <c r="U4" s="155"/>
      <c r="V4" s="157"/>
      <c r="W4" s="158"/>
      <c r="X4" s="160"/>
      <c r="Y4" s="158"/>
      <c r="Z4" s="157"/>
      <c r="AA4" s="155"/>
      <c r="AB4" s="157"/>
      <c r="AC4" s="155"/>
    </row>
    <row r="5" spans="1:48" ht="25.05" customHeight="1" thickTop="1" x14ac:dyDescent="0.3">
      <c r="A5" s="166"/>
      <c r="B5" s="160"/>
      <c r="C5" s="158"/>
      <c r="D5" s="155"/>
      <c r="E5" s="156"/>
      <c r="F5" s="157"/>
      <c r="G5" s="197"/>
      <c r="M5" s="166"/>
      <c r="N5" s="160"/>
      <c r="O5" s="158"/>
      <c r="P5" s="155"/>
      <c r="Q5" s="155"/>
      <c r="R5" s="156"/>
      <c r="S5" s="157"/>
      <c r="T5" s="157"/>
      <c r="U5" s="155"/>
      <c r="V5" s="167" t="s">
        <v>245</v>
      </c>
      <c r="W5" s="168"/>
      <c r="X5" s="169"/>
      <c r="Y5" s="168"/>
      <c r="Z5" s="170"/>
      <c r="AA5" s="165"/>
      <c r="AB5" s="157"/>
      <c r="AC5" s="155"/>
    </row>
    <row r="6" spans="1:48" s="180" customFormat="1" ht="12" customHeight="1" thickBot="1" x14ac:dyDescent="0.35">
      <c r="A6" s="175"/>
      <c r="B6" s="176" t="s">
        <v>246</v>
      </c>
      <c r="C6" s="174"/>
      <c r="D6" s="171"/>
      <c r="E6" s="172" t="s">
        <v>246</v>
      </c>
      <c r="F6" s="173"/>
      <c r="G6" s="197"/>
      <c r="H6" s="199" t="s">
        <v>246</v>
      </c>
      <c r="I6" s="198"/>
      <c r="J6" s="205"/>
      <c r="K6" s="206"/>
      <c r="L6" s="205"/>
      <c r="M6" s="175"/>
      <c r="N6" s="176" t="s">
        <v>246</v>
      </c>
      <c r="O6" s="174"/>
      <c r="P6" s="171"/>
      <c r="Q6" s="155"/>
      <c r="R6" s="172" t="s">
        <v>246</v>
      </c>
      <c r="S6" s="157"/>
      <c r="T6" s="173"/>
      <c r="U6" s="171"/>
      <c r="V6" s="177"/>
      <c r="W6" s="178"/>
      <c r="X6" s="179"/>
      <c r="Y6" s="178"/>
      <c r="Z6" s="173"/>
      <c r="AA6" s="171"/>
      <c r="AB6" s="157"/>
      <c r="AC6" s="171"/>
    </row>
    <row r="7" spans="1:48" ht="25.05" customHeight="1" thickTop="1" thickBot="1" x14ac:dyDescent="0.35">
      <c r="A7" s="166"/>
      <c r="B7" s="181"/>
      <c r="C7" s="158"/>
      <c r="D7" s="155"/>
      <c r="E7" s="156"/>
      <c r="F7" s="157"/>
      <c r="G7" s="197"/>
      <c r="K7" s="204" t="s">
        <v>253</v>
      </c>
      <c r="M7" s="166"/>
      <c r="N7" s="181"/>
      <c r="O7" s="158"/>
      <c r="P7" s="155"/>
      <c r="Q7" s="155"/>
      <c r="R7" s="156"/>
      <c r="S7" s="157"/>
      <c r="T7" s="157"/>
      <c r="U7" s="155"/>
      <c r="V7" s="182"/>
      <c r="W7" s="158"/>
      <c r="X7" s="160"/>
      <c r="Y7" s="158"/>
      <c r="Z7" s="157"/>
      <c r="AA7" s="155"/>
      <c r="AB7" s="157"/>
      <c r="AC7" s="155"/>
    </row>
    <row r="8" spans="1:48" ht="12" customHeight="1" thickTop="1" x14ac:dyDescent="0.3">
      <c r="A8" s="166"/>
      <c r="B8" s="183"/>
      <c r="C8" s="158"/>
      <c r="D8" s="155"/>
      <c r="E8" s="172" t="s">
        <v>246</v>
      </c>
      <c r="F8" s="157"/>
      <c r="G8" s="197"/>
      <c r="H8" s="199" t="s">
        <v>246</v>
      </c>
      <c r="K8" s="206"/>
      <c r="M8" s="166"/>
      <c r="N8" s="183" t="s">
        <v>246</v>
      </c>
      <c r="O8" s="158"/>
      <c r="P8" s="155"/>
      <c r="Q8" s="155"/>
      <c r="R8" s="172" t="s">
        <v>246</v>
      </c>
      <c r="S8" s="157"/>
      <c r="T8" s="157"/>
      <c r="U8" s="155"/>
      <c r="V8" s="182"/>
      <c r="W8" s="158"/>
      <c r="X8" s="160"/>
      <c r="Y8" s="158"/>
      <c r="Z8" s="157"/>
      <c r="AA8" s="155"/>
      <c r="AB8" s="157"/>
      <c r="AC8" s="155"/>
    </row>
    <row r="9" spans="1:48" ht="25.05" customHeight="1" thickBot="1" x14ac:dyDescent="0.35">
      <c r="A9" s="166"/>
      <c r="B9" s="181"/>
      <c r="C9" s="158"/>
      <c r="D9" s="155"/>
      <c r="E9" s="156"/>
      <c r="F9" s="157"/>
      <c r="G9" s="197"/>
      <c r="J9" s="207"/>
      <c r="M9" s="166"/>
      <c r="N9" s="181"/>
      <c r="O9" s="158"/>
      <c r="P9" s="155"/>
      <c r="Q9" s="155"/>
      <c r="R9" s="156"/>
      <c r="S9" s="157"/>
      <c r="T9" s="157"/>
      <c r="U9" s="155"/>
      <c r="V9" s="182"/>
      <c r="W9" s="158"/>
      <c r="X9" s="160"/>
      <c r="Y9" s="158"/>
      <c r="Z9" s="157"/>
      <c r="AA9" s="155"/>
      <c r="AB9" s="157"/>
      <c r="AC9" s="155"/>
    </row>
    <row r="10" spans="1:48" ht="12" customHeight="1" thickTop="1" x14ac:dyDescent="0.3">
      <c r="A10" s="166"/>
      <c r="B10" s="316" t="s">
        <v>292</v>
      </c>
      <c r="C10" s="158"/>
      <c r="D10" s="155"/>
      <c r="E10" s="172" t="s">
        <v>246</v>
      </c>
      <c r="F10" s="157"/>
      <c r="G10" s="200"/>
      <c r="H10" s="199" t="s">
        <v>246</v>
      </c>
      <c r="I10" s="201"/>
      <c r="J10" s="208"/>
      <c r="K10" s="206" t="s">
        <v>246</v>
      </c>
      <c r="L10" s="205"/>
      <c r="M10" s="166"/>
      <c r="N10" s="183" t="s">
        <v>246</v>
      </c>
      <c r="O10" s="158"/>
      <c r="P10" s="155"/>
      <c r="Q10" s="171"/>
      <c r="R10" s="172" t="s">
        <v>246</v>
      </c>
      <c r="S10" s="173"/>
      <c r="T10" s="157"/>
      <c r="U10" s="155"/>
      <c r="V10" s="182"/>
      <c r="W10" s="158"/>
      <c r="X10" s="160"/>
      <c r="Y10" s="158"/>
      <c r="Z10" s="157"/>
      <c r="AA10" s="155"/>
      <c r="AB10" s="157"/>
      <c r="AC10" s="155"/>
    </row>
    <row r="11" spans="1:48" ht="25.05" customHeight="1" thickBot="1" x14ac:dyDescent="0.35">
      <c r="A11" s="166"/>
      <c r="B11" s="317"/>
      <c r="C11" s="158"/>
      <c r="D11" s="155"/>
      <c r="E11" s="156"/>
      <c r="F11" s="157"/>
      <c r="G11" s="197"/>
      <c r="J11" s="207"/>
      <c r="K11" s="209"/>
      <c r="M11" s="166"/>
      <c r="N11" s="181"/>
      <c r="O11" s="158"/>
      <c r="P11" s="155"/>
      <c r="Q11" s="155"/>
      <c r="R11" s="156"/>
      <c r="S11" s="157"/>
      <c r="T11" s="157"/>
      <c r="U11" s="155"/>
      <c r="V11" s="167" t="s">
        <v>245</v>
      </c>
      <c r="W11" s="158"/>
      <c r="X11" s="160"/>
      <c r="Y11" s="158"/>
      <c r="Z11" s="157"/>
      <c r="AA11" s="155"/>
      <c r="AB11" s="157"/>
      <c r="AC11" s="155"/>
    </row>
    <row r="12" spans="1:48" s="180" customFormat="1" ht="12" customHeight="1" thickTop="1" x14ac:dyDescent="0.3">
      <c r="A12" s="175"/>
      <c r="B12" s="176"/>
      <c r="C12" s="174"/>
      <c r="D12" s="171"/>
      <c r="E12" s="172" t="s">
        <v>246</v>
      </c>
      <c r="F12" s="173"/>
      <c r="G12" s="200"/>
      <c r="H12" s="199" t="s">
        <v>246</v>
      </c>
      <c r="I12" s="201"/>
      <c r="J12" s="207"/>
      <c r="K12" s="210" t="s">
        <v>246</v>
      </c>
      <c r="L12" s="202"/>
      <c r="M12" s="175"/>
      <c r="N12" s="176"/>
      <c r="O12" s="174"/>
      <c r="P12" s="171"/>
      <c r="Q12" s="171"/>
      <c r="R12" s="172" t="s">
        <v>246</v>
      </c>
      <c r="S12" s="173"/>
      <c r="T12" s="173"/>
      <c r="U12" s="171"/>
      <c r="V12" s="184"/>
      <c r="W12" s="174"/>
      <c r="X12" s="185"/>
      <c r="Y12" s="174"/>
      <c r="Z12" s="186"/>
      <c r="AA12" s="187"/>
      <c r="AB12" s="157"/>
      <c r="AC12" s="171"/>
    </row>
    <row r="13" spans="1:48" ht="25.05" customHeight="1" x14ac:dyDescent="0.3">
      <c r="A13" s="166"/>
      <c r="B13" s="181"/>
      <c r="C13" s="158"/>
      <c r="D13" s="155"/>
      <c r="E13" s="156"/>
      <c r="F13" s="157"/>
      <c r="G13" s="197"/>
      <c r="J13" s="207"/>
      <c r="M13" s="166"/>
      <c r="N13" s="181"/>
      <c r="O13" s="158"/>
      <c r="P13" s="155"/>
      <c r="Q13" s="155"/>
      <c r="R13" s="156"/>
      <c r="S13" s="157"/>
      <c r="T13" s="157"/>
      <c r="U13" s="155"/>
      <c r="V13" s="182"/>
      <c r="W13" s="188"/>
      <c r="X13" s="164"/>
      <c r="Y13" s="188"/>
      <c r="Z13" s="189"/>
      <c r="AA13" s="190"/>
      <c r="AB13" s="157"/>
      <c r="AC13" s="155"/>
    </row>
    <row r="14" spans="1:48" s="180" customFormat="1" ht="12" customHeight="1" x14ac:dyDescent="0.3">
      <c r="A14" s="175"/>
      <c r="B14" s="174"/>
      <c r="C14" s="174"/>
      <c r="D14" s="171"/>
      <c r="E14" s="172" t="s">
        <v>246</v>
      </c>
      <c r="F14" s="173"/>
      <c r="G14" s="200"/>
      <c r="H14" s="199" t="s">
        <v>246</v>
      </c>
      <c r="I14" s="201"/>
      <c r="J14" s="208"/>
      <c r="K14" s="210" t="s">
        <v>246</v>
      </c>
      <c r="L14" s="205"/>
      <c r="M14" s="175"/>
      <c r="N14" s="176"/>
      <c r="O14" s="174"/>
      <c r="P14" s="171"/>
      <c r="Q14" s="171"/>
      <c r="R14" s="172" t="s">
        <v>246</v>
      </c>
      <c r="S14" s="173"/>
      <c r="T14" s="173"/>
      <c r="U14" s="171"/>
      <c r="V14" s="177"/>
      <c r="W14" s="174"/>
      <c r="X14" s="185"/>
      <c r="Y14" s="174"/>
      <c r="Z14" s="173"/>
      <c r="AA14" s="171"/>
      <c r="AB14" s="157"/>
      <c r="AC14" s="171"/>
    </row>
    <row r="15" spans="1:48" ht="25.05" customHeight="1" x14ac:dyDescent="0.3">
      <c r="A15" s="166"/>
      <c r="B15" s="174"/>
      <c r="C15" s="174"/>
      <c r="D15" s="155"/>
      <c r="E15" s="156"/>
      <c r="F15" s="157"/>
      <c r="G15" s="197"/>
      <c r="J15" s="207"/>
      <c r="M15" s="166"/>
      <c r="N15" s="181"/>
      <c r="O15" s="158"/>
      <c r="P15" s="155"/>
      <c r="Q15" s="155"/>
      <c r="R15" s="156"/>
      <c r="S15" s="157"/>
      <c r="T15" s="157"/>
      <c r="U15" s="155"/>
      <c r="V15" s="182"/>
      <c r="W15" s="158"/>
      <c r="X15" s="160"/>
      <c r="Y15" s="158"/>
      <c r="Z15" s="157"/>
      <c r="AA15" s="155"/>
      <c r="AB15" s="157"/>
      <c r="AC15" s="155"/>
    </row>
    <row r="16" spans="1:48" s="180" customFormat="1" ht="12" customHeight="1" x14ac:dyDescent="0.3">
      <c r="A16" s="175"/>
      <c r="B16" s="176" t="s">
        <v>246</v>
      </c>
      <c r="C16" s="174"/>
      <c r="D16" s="171"/>
      <c r="E16" s="172" t="s">
        <v>246</v>
      </c>
      <c r="F16" s="173"/>
      <c r="G16" s="200"/>
      <c r="H16" s="199" t="s">
        <v>246</v>
      </c>
      <c r="I16" s="201"/>
      <c r="J16" s="208"/>
      <c r="K16" s="210" t="s">
        <v>246</v>
      </c>
      <c r="L16" s="205"/>
      <c r="M16" s="175"/>
      <c r="N16" s="191"/>
      <c r="O16" s="174"/>
      <c r="P16" s="171"/>
      <c r="Q16" s="171"/>
      <c r="R16" s="172" t="s">
        <v>246</v>
      </c>
      <c r="S16" s="173"/>
      <c r="T16" s="173"/>
      <c r="U16" s="171"/>
      <c r="V16" s="177"/>
      <c r="W16" s="174"/>
      <c r="X16" s="185"/>
      <c r="Y16" s="174"/>
      <c r="Z16" s="186"/>
      <c r="AA16" s="187"/>
      <c r="AB16" s="157"/>
      <c r="AC16" s="171"/>
    </row>
    <row r="17" spans="1:29" ht="25.05" customHeight="1" x14ac:dyDescent="0.3">
      <c r="A17" s="158"/>
      <c r="B17" s="211"/>
      <c r="C17" s="158"/>
      <c r="D17" s="155"/>
      <c r="E17" s="156"/>
      <c r="F17" s="157"/>
      <c r="G17" s="197"/>
      <c r="J17" s="207"/>
      <c r="M17" s="158"/>
      <c r="N17" s="211"/>
      <c r="O17" s="158"/>
      <c r="P17" s="155"/>
      <c r="Q17" s="155"/>
      <c r="R17" s="156"/>
      <c r="S17" s="157"/>
      <c r="T17" s="157"/>
      <c r="U17" s="155"/>
      <c r="V17" s="167" t="s">
        <v>245</v>
      </c>
      <c r="W17" s="188"/>
      <c r="X17" s="164"/>
      <c r="Y17" s="188"/>
      <c r="Z17" s="170"/>
      <c r="AA17" s="165"/>
      <c r="AB17" s="157"/>
      <c r="AC17" s="155"/>
    </row>
    <row r="18" spans="1:29" s="180" customFormat="1" ht="12" customHeight="1" x14ac:dyDescent="0.3">
      <c r="A18" s="174"/>
      <c r="B18" s="185"/>
      <c r="C18" s="174"/>
      <c r="D18" s="171"/>
      <c r="E18" s="172" t="s">
        <v>246</v>
      </c>
      <c r="F18" s="173"/>
      <c r="G18" s="200"/>
      <c r="H18" s="199" t="s">
        <v>246</v>
      </c>
      <c r="I18" s="201"/>
      <c r="J18" s="208"/>
      <c r="K18" s="203"/>
      <c r="L18" s="205"/>
      <c r="M18" s="174"/>
      <c r="N18" s="185"/>
      <c r="O18" s="174"/>
      <c r="P18" s="171"/>
      <c r="Q18" s="171"/>
      <c r="R18" s="172" t="s">
        <v>246</v>
      </c>
      <c r="S18" s="173"/>
      <c r="T18" s="173"/>
      <c r="U18" s="171"/>
      <c r="V18" s="177"/>
      <c r="W18" s="174"/>
      <c r="X18" s="185"/>
      <c r="Y18" s="174"/>
      <c r="Z18" s="173"/>
      <c r="AA18" s="171"/>
      <c r="AB18" s="157"/>
      <c r="AC18" s="171"/>
    </row>
    <row r="19" spans="1:29" ht="25.05" customHeight="1" x14ac:dyDescent="0.3">
      <c r="A19" s="158"/>
      <c r="B19" s="160"/>
      <c r="C19" s="158"/>
      <c r="D19" s="155"/>
      <c r="E19" s="156"/>
      <c r="F19" s="157"/>
      <c r="G19" s="197"/>
      <c r="J19" s="207"/>
      <c r="K19" s="210" t="s">
        <v>246</v>
      </c>
      <c r="M19" s="158"/>
      <c r="N19" s="160"/>
      <c r="O19" s="158"/>
      <c r="P19" s="155"/>
      <c r="Q19" s="155"/>
      <c r="R19" s="156"/>
      <c r="S19" s="157"/>
      <c r="T19" s="157"/>
      <c r="U19" s="155"/>
      <c r="V19" s="182"/>
      <c r="W19" s="158"/>
      <c r="X19" s="160"/>
      <c r="Y19" s="158"/>
      <c r="Z19" s="157"/>
      <c r="AA19" s="155"/>
      <c r="AB19" s="157"/>
      <c r="AC19" s="155"/>
    </row>
    <row r="20" spans="1:29" s="180" customFormat="1" ht="12" customHeight="1" x14ac:dyDescent="0.3">
      <c r="A20" s="174"/>
      <c r="B20" s="185"/>
      <c r="C20" s="174"/>
      <c r="D20" s="171"/>
      <c r="E20" s="172" t="s">
        <v>246</v>
      </c>
      <c r="F20" s="173"/>
      <c r="G20" s="197"/>
      <c r="H20" s="199" t="s">
        <v>246</v>
      </c>
      <c r="I20" s="198"/>
      <c r="J20" s="208"/>
      <c r="K20" s="203"/>
      <c r="L20" s="205"/>
      <c r="M20" s="174"/>
      <c r="N20" s="185"/>
      <c r="O20" s="174"/>
      <c r="P20" s="171"/>
      <c r="Q20" s="155"/>
      <c r="R20" s="172" t="s">
        <v>246</v>
      </c>
      <c r="S20" s="157"/>
      <c r="T20" s="173"/>
      <c r="U20" s="171"/>
      <c r="V20" s="177"/>
      <c r="W20" s="174"/>
      <c r="X20" s="185"/>
      <c r="Y20" s="174"/>
      <c r="Z20" s="157"/>
      <c r="AA20" s="155"/>
      <c r="AB20" s="157"/>
      <c r="AC20" s="171"/>
    </row>
    <row r="21" spans="1:29" ht="25.05" customHeight="1" x14ac:dyDescent="0.3">
      <c r="A21" s="158"/>
      <c r="B21" s="159"/>
      <c r="C21" s="158"/>
      <c r="D21" s="155"/>
      <c r="E21" s="156"/>
      <c r="F21" s="157"/>
      <c r="G21" s="197"/>
      <c r="J21" s="207"/>
      <c r="M21" s="158"/>
      <c r="N21" s="159"/>
      <c r="O21" s="158"/>
      <c r="P21" s="155"/>
      <c r="Q21" s="155"/>
      <c r="R21" s="156"/>
      <c r="S21" s="157"/>
      <c r="T21" s="157"/>
      <c r="U21" s="155"/>
      <c r="V21" s="167" t="s">
        <v>245</v>
      </c>
      <c r="W21" s="158"/>
      <c r="X21" s="160"/>
      <c r="Y21" s="158"/>
      <c r="Z21" s="157"/>
      <c r="AA21" s="155"/>
      <c r="AB21" s="157"/>
      <c r="AC21" s="155"/>
    </row>
    <row r="22" spans="1:29" ht="12" customHeight="1" x14ac:dyDescent="0.3">
      <c r="A22" s="158"/>
      <c r="B22" s="159"/>
      <c r="C22" s="158"/>
      <c r="D22" s="155"/>
      <c r="E22" s="172" t="s">
        <v>246</v>
      </c>
      <c r="F22" s="157"/>
      <c r="H22" s="199" t="s">
        <v>246</v>
      </c>
      <c r="K22" s="172" t="s">
        <v>246</v>
      </c>
      <c r="M22" s="158"/>
      <c r="N22" s="159"/>
      <c r="O22" s="158"/>
      <c r="P22" s="155"/>
      <c r="Q22" s="157"/>
      <c r="R22" s="172" t="s">
        <v>246</v>
      </c>
      <c r="S22" s="157"/>
      <c r="T22" s="157"/>
      <c r="U22" s="155"/>
      <c r="V22" s="182"/>
      <c r="W22" s="158"/>
      <c r="X22" s="160"/>
      <c r="Y22" s="158"/>
      <c r="Z22" s="157"/>
      <c r="AA22" s="155"/>
      <c r="AB22" s="157"/>
      <c r="AC22" s="155"/>
    </row>
    <row r="23" spans="1:29" ht="25.05" customHeight="1" x14ac:dyDescent="0.3">
      <c r="A23" s="158"/>
      <c r="B23" s="159"/>
      <c r="C23" s="158"/>
      <c r="D23" s="155"/>
      <c r="E23" s="156"/>
      <c r="F23" s="157"/>
      <c r="G23" s="197"/>
      <c r="K23" s="156"/>
      <c r="M23" s="158"/>
      <c r="N23" s="159"/>
      <c r="O23" s="158"/>
      <c r="P23" s="155"/>
      <c r="Q23" s="155"/>
      <c r="R23" s="156"/>
      <c r="S23" s="157"/>
      <c r="T23" s="157"/>
      <c r="U23" s="155"/>
      <c r="V23" s="182"/>
      <c r="W23" s="158"/>
      <c r="X23" s="160"/>
      <c r="Y23" s="158"/>
      <c r="Z23" s="157"/>
      <c r="AA23" s="155"/>
      <c r="AB23" s="157"/>
      <c r="AC23" s="155"/>
    </row>
    <row r="24" spans="1:29" s="154" customFormat="1" ht="12" customHeight="1" x14ac:dyDescent="0.3">
      <c r="A24" s="158"/>
      <c r="B24" s="159"/>
      <c r="C24" s="158"/>
      <c r="D24" s="157"/>
      <c r="E24" s="172" t="s">
        <v>246</v>
      </c>
      <c r="F24" s="157"/>
      <c r="G24" s="197"/>
      <c r="H24" s="199" t="s">
        <v>246</v>
      </c>
      <c r="I24" s="198"/>
      <c r="J24" s="202"/>
      <c r="K24" s="172"/>
      <c r="L24" s="202"/>
      <c r="M24" s="158"/>
      <c r="N24" s="159"/>
      <c r="O24" s="158"/>
      <c r="P24" s="157"/>
      <c r="Q24" s="155"/>
      <c r="R24" s="172" t="s">
        <v>246</v>
      </c>
      <c r="S24" s="157"/>
      <c r="T24" s="157"/>
      <c r="U24" s="155"/>
      <c r="V24" s="182"/>
      <c r="W24" s="158"/>
      <c r="X24" s="160"/>
      <c r="Y24" s="158"/>
      <c r="Z24" s="157"/>
      <c r="AA24" s="190"/>
      <c r="AB24" s="157"/>
      <c r="AC24" s="155"/>
    </row>
    <row r="25" spans="1:29" ht="25.05" customHeight="1" x14ac:dyDescent="0.3">
      <c r="A25" s="158"/>
      <c r="B25" s="160"/>
      <c r="C25" s="158"/>
      <c r="D25" s="155"/>
      <c r="E25" s="156"/>
      <c r="F25" s="157"/>
      <c r="G25" s="197"/>
      <c r="M25" s="158"/>
      <c r="N25" s="160"/>
      <c r="O25" s="158"/>
      <c r="P25" s="155"/>
      <c r="Q25" s="155"/>
      <c r="R25" s="156"/>
      <c r="S25" s="157"/>
      <c r="T25" s="157"/>
      <c r="U25" s="155"/>
      <c r="V25" s="167" t="s">
        <v>245</v>
      </c>
      <c r="W25" s="188"/>
      <c r="X25" s="164"/>
      <c r="Y25" s="168"/>
      <c r="Z25" s="170"/>
      <c r="AA25" s="165"/>
      <c r="AB25" s="157"/>
      <c r="AC25" s="155"/>
    </row>
    <row r="26" spans="1:29" ht="12" customHeight="1" x14ac:dyDescent="0.3">
      <c r="A26" s="158"/>
      <c r="B26" s="160"/>
      <c r="C26" s="158"/>
      <c r="D26" s="155"/>
      <c r="E26" s="172" t="s">
        <v>246</v>
      </c>
      <c r="F26" s="157"/>
      <c r="H26" s="199" t="s">
        <v>246</v>
      </c>
      <c r="K26" s="172" t="s">
        <v>246</v>
      </c>
      <c r="M26" s="158"/>
      <c r="N26" s="160"/>
      <c r="O26" s="158"/>
      <c r="P26" s="155"/>
      <c r="Q26" s="157"/>
      <c r="R26" s="172" t="s">
        <v>246</v>
      </c>
      <c r="S26" s="157"/>
      <c r="T26" s="157"/>
      <c r="U26" s="155"/>
      <c r="V26" s="157"/>
      <c r="W26" s="158"/>
      <c r="X26" s="160"/>
      <c r="Y26" s="168"/>
      <c r="Z26" s="173"/>
      <c r="AA26" s="171"/>
      <c r="AB26" s="157"/>
      <c r="AC26" s="155"/>
    </row>
    <row r="27" spans="1:29" ht="25.05" customHeight="1" x14ac:dyDescent="0.3">
      <c r="A27" s="158"/>
      <c r="B27" s="160"/>
      <c r="C27" s="158"/>
      <c r="D27" s="155"/>
      <c r="E27" s="156"/>
      <c r="F27" s="157"/>
      <c r="K27" s="156"/>
      <c r="M27" s="158"/>
      <c r="N27" s="160"/>
      <c r="O27" s="158"/>
      <c r="P27" s="155"/>
      <c r="Q27" s="157"/>
      <c r="R27" s="156"/>
      <c r="S27" s="157"/>
      <c r="T27" s="157"/>
      <c r="U27" s="155"/>
      <c r="V27" s="157"/>
      <c r="W27" s="158"/>
      <c r="X27" s="160"/>
      <c r="Y27" s="158"/>
      <c r="Z27" s="157"/>
      <c r="AA27" s="155"/>
      <c r="AB27" s="157"/>
      <c r="AC27" s="155"/>
    </row>
    <row r="28" spans="1:29" s="154" customFormat="1" ht="12" customHeight="1" thickBot="1" x14ac:dyDescent="0.35">
      <c r="A28" s="158"/>
      <c r="B28" s="160"/>
      <c r="C28" s="158"/>
      <c r="D28" s="157"/>
      <c r="E28" s="172" t="s">
        <v>246</v>
      </c>
      <c r="F28" s="157"/>
      <c r="G28" s="198"/>
      <c r="H28" s="195"/>
      <c r="I28" s="198"/>
      <c r="J28" s="202"/>
      <c r="K28" s="172"/>
      <c r="L28" s="202"/>
      <c r="M28" s="158"/>
      <c r="N28" s="160"/>
      <c r="O28" s="158"/>
      <c r="P28" s="157"/>
      <c r="Q28" s="157"/>
      <c r="R28" s="172" t="s">
        <v>246</v>
      </c>
      <c r="S28" s="157"/>
      <c r="T28" s="157"/>
      <c r="U28" s="155"/>
      <c r="V28" s="157"/>
      <c r="W28" s="158"/>
      <c r="X28" s="160"/>
      <c r="Y28" s="158"/>
      <c r="Z28" s="157"/>
      <c r="AA28" s="155"/>
      <c r="AB28" s="157"/>
      <c r="AC28" s="155"/>
    </row>
    <row r="29" spans="1:29" ht="25.05" customHeight="1" thickTop="1" thickBot="1" x14ac:dyDescent="0.35">
      <c r="A29" s="158"/>
      <c r="B29" s="160"/>
      <c r="C29" s="158"/>
      <c r="D29" s="157"/>
      <c r="E29" s="156"/>
      <c r="F29" s="157"/>
      <c r="M29" s="158"/>
      <c r="N29" s="160"/>
      <c r="O29" s="158"/>
      <c r="P29" s="155"/>
      <c r="Q29" s="155"/>
      <c r="R29" s="161" t="s">
        <v>263</v>
      </c>
      <c r="S29" s="157"/>
      <c r="T29" s="157"/>
      <c r="U29" s="155"/>
      <c r="V29" s="167" t="s">
        <v>245</v>
      </c>
      <c r="W29" s="188"/>
      <c r="X29" s="164"/>
      <c r="Y29" s="168"/>
      <c r="Z29" s="170"/>
      <c r="AA29" s="165"/>
      <c r="AB29" s="157"/>
      <c r="AC29" s="155"/>
    </row>
    <row r="30" spans="1:29" ht="12" customHeight="1" thickTop="1" thickBot="1" x14ac:dyDescent="0.35">
      <c r="A30" s="158"/>
      <c r="B30" s="160"/>
      <c r="C30" s="158"/>
      <c r="D30" s="155"/>
      <c r="E30" s="172"/>
      <c r="F30" s="157"/>
      <c r="K30" s="172" t="s">
        <v>246</v>
      </c>
      <c r="M30" s="158"/>
      <c r="N30" s="160"/>
      <c r="O30" s="158"/>
      <c r="P30" s="155"/>
      <c r="T30" s="157"/>
      <c r="U30" s="155"/>
      <c r="V30" s="157"/>
      <c r="W30" s="158"/>
      <c r="X30" s="160"/>
      <c r="Y30" s="168"/>
      <c r="Z30" s="173"/>
      <c r="AA30" s="171"/>
      <c r="AB30" s="157"/>
      <c r="AC30" s="155"/>
    </row>
    <row r="31" spans="1:29" ht="25.05" customHeight="1" thickTop="1" thickBot="1" x14ac:dyDescent="0.4">
      <c r="A31" s="158"/>
      <c r="B31" s="194"/>
      <c r="C31" s="158"/>
      <c r="D31" s="192"/>
      <c r="E31" s="193"/>
      <c r="F31" s="167"/>
      <c r="K31" s="156"/>
      <c r="M31" s="158"/>
      <c r="N31" s="194"/>
      <c r="O31" s="158"/>
      <c r="P31" s="155"/>
      <c r="Q31" s="197"/>
      <c r="R31" s="195"/>
      <c r="S31" s="198"/>
      <c r="T31" s="157"/>
      <c r="U31" s="155"/>
      <c r="V31" s="157"/>
      <c r="W31" s="158"/>
      <c r="X31" s="160"/>
      <c r="Y31" s="158"/>
      <c r="Z31" s="157"/>
      <c r="AA31" s="155"/>
      <c r="AB31" s="157"/>
      <c r="AC31" s="155"/>
    </row>
    <row r="32" spans="1:29" ht="19.95" customHeight="1" thickTop="1" x14ac:dyDescent="0.3">
      <c r="A32" s="158"/>
      <c r="B32" s="160"/>
      <c r="C32" s="158"/>
      <c r="D32" s="155"/>
      <c r="F32" s="157"/>
      <c r="K32" s="172"/>
      <c r="M32" s="158"/>
      <c r="N32" s="160"/>
      <c r="O32" s="158"/>
      <c r="P32" s="155"/>
      <c r="Q32" s="197"/>
      <c r="R32" s="199" t="s">
        <v>246</v>
      </c>
      <c r="S32" s="198"/>
      <c r="T32" s="157"/>
      <c r="U32" s="155"/>
      <c r="V32" s="157"/>
      <c r="W32" s="160"/>
      <c r="X32" s="160"/>
      <c r="Y32" s="158"/>
      <c r="Z32" s="157"/>
      <c r="AA32" s="155"/>
      <c r="AB32" s="157"/>
      <c r="AC32" s="155"/>
    </row>
    <row r="33" spans="1:29" ht="19.95" customHeight="1" x14ac:dyDescent="0.3">
      <c r="A33" s="158"/>
      <c r="B33" s="160"/>
      <c r="C33" s="158"/>
      <c r="D33" s="155"/>
      <c r="F33" s="157"/>
      <c r="M33" s="158"/>
      <c r="N33" s="160"/>
      <c r="O33" s="158"/>
      <c r="P33" s="155"/>
      <c r="Q33" s="197"/>
      <c r="R33" s="195"/>
      <c r="S33" s="198"/>
      <c r="T33" s="157"/>
      <c r="U33" s="155"/>
      <c r="V33" s="157"/>
      <c r="W33" s="160"/>
      <c r="X33" s="160"/>
      <c r="Y33" s="158"/>
      <c r="Z33" s="157"/>
      <c r="AA33" s="155"/>
      <c r="AB33" s="157"/>
      <c r="AC33" s="155"/>
    </row>
    <row r="34" spans="1:29" ht="19.95" customHeight="1" x14ac:dyDescent="0.3">
      <c r="K34" s="172" t="s">
        <v>246</v>
      </c>
      <c r="Q34" s="197"/>
      <c r="R34" s="199" t="s">
        <v>246</v>
      </c>
      <c r="S34" s="198"/>
    </row>
    <row r="35" spans="1:29" ht="19.95" customHeight="1" x14ac:dyDescent="0.3">
      <c r="K35" s="156"/>
      <c r="Q35" s="197"/>
      <c r="R35" s="195"/>
      <c r="S35" s="198"/>
    </row>
    <row r="36" spans="1:29" ht="19.95" customHeight="1" x14ac:dyDescent="0.3">
      <c r="E36" s="153" t="s">
        <v>376</v>
      </c>
      <c r="Q36" s="200"/>
      <c r="R36" s="199" t="s">
        <v>246</v>
      </c>
      <c r="S36" s="201"/>
    </row>
    <row r="37" spans="1:29" ht="19.95" customHeight="1" x14ac:dyDescent="0.3">
      <c r="K37" s="172" t="s">
        <v>246</v>
      </c>
      <c r="Q37" s="197"/>
      <c r="R37" s="195"/>
      <c r="S37" s="198"/>
    </row>
    <row r="38" spans="1:29" ht="19.95" customHeight="1" x14ac:dyDescent="0.3">
      <c r="J38" s="155"/>
      <c r="K38" s="156"/>
      <c r="L38" s="157"/>
      <c r="Q38" s="200"/>
      <c r="R38" s="199" t="s">
        <v>246</v>
      </c>
      <c r="S38" s="201"/>
    </row>
    <row r="39" spans="1:29" ht="19.95" customHeight="1" x14ac:dyDescent="0.3">
      <c r="J39" s="155"/>
      <c r="K39" s="172" t="s">
        <v>246</v>
      </c>
      <c r="L39" s="157"/>
      <c r="Q39" s="197"/>
      <c r="R39" s="195"/>
      <c r="S39" s="198"/>
    </row>
    <row r="40" spans="1:29" ht="18" x14ac:dyDescent="0.3">
      <c r="J40" s="155"/>
      <c r="K40" s="156"/>
      <c r="L40" s="157"/>
      <c r="Q40" s="200"/>
      <c r="R40" s="199" t="s">
        <v>246</v>
      </c>
      <c r="S40" s="201"/>
    </row>
    <row r="41" spans="1:29" ht="19.95" customHeight="1" x14ac:dyDescent="0.3">
      <c r="J41" s="155"/>
      <c r="K41" s="172" t="s">
        <v>246</v>
      </c>
      <c r="L41" s="157"/>
      <c r="Q41" s="197"/>
      <c r="R41" s="195"/>
      <c r="S41" s="198"/>
    </row>
    <row r="42" spans="1:29" ht="19.95" customHeight="1" x14ac:dyDescent="0.3">
      <c r="J42" s="155"/>
      <c r="K42" s="156"/>
      <c r="L42" s="157"/>
      <c r="Q42" s="200"/>
      <c r="R42" s="199" t="s">
        <v>246</v>
      </c>
      <c r="S42" s="201"/>
    </row>
    <row r="43" spans="1:29" ht="18" x14ac:dyDescent="0.3">
      <c r="J43" s="171"/>
      <c r="K43" s="172" t="s">
        <v>246</v>
      </c>
      <c r="L43" s="173"/>
      <c r="Q43" s="197"/>
      <c r="R43" s="195"/>
      <c r="S43" s="198"/>
    </row>
    <row r="44" spans="1:29" ht="19.95" customHeight="1" x14ac:dyDescent="0.3">
      <c r="J44" s="155"/>
      <c r="K44" s="156"/>
      <c r="L44" s="157"/>
      <c r="Q44" s="200"/>
      <c r="R44" s="199" t="s">
        <v>246</v>
      </c>
      <c r="S44" s="201"/>
    </row>
    <row r="45" spans="1:29" ht="19.95" customHeight="1" x14ac:dyDescent="0.3">
      <c r="J45" s="171"/>
      <c r="K45" s="172" t="s">
        <v>246</v>
      </c>
      <c r="L45" s="173"/>
      <c r="Q45" s="197"/>
      <c r="R45" s="195"/>
      <c r="S45" s="198"/>
    </row>
    <row r="46" spans="1:29" ht="19.95" customHeight="1" x14ac:dyDescent="0.3">
      <c r="J46" s="155"/>
      <c r="K46" s="156"/>
      <c r="L46" s="157"/>
      <c r="Q46" s="197"/>
      <c r="R46" s="199" t="s">
        <v>246</v>
      </c>
      <c r="S46" s="198"/>
    </row>
    <row r="47" spans="1:29" ht="19.95" customHeight="1" x14ac:dyDescent="0.3">
      <c r="J47" s="171"/>
      <c r="K47" s="172" t="s">
        <v>246</v>
      </c>
      <c r="L47" s="173"/>
      <c r="Q47" s="197"/>
      <c r="R47" s="195"/>
      <c r="S47" s="198"/>
    </row>
    <row r="48" spans="1:29" ht="19.95" customHeight="1" x14ac:dyDescent="0.3">
      <c r="J48" s="155"/>
      <c r="K48" s="156"/>
      <c r="L48" s="157"/>
      <c r="Q48" s="198"/>
      <c r="R48" s="199" t="s">
        <v>246</v>
      </c>
      <c r="S48" s="198"/>
    </row>
    <row r="49" spans="5:19" ht="41.4" x14ac:dyDescent="0.3">
      <c r="E49" s="271" t="s">
        <v>428</v>
      </c>
      <c r="J49" s="171"/>
      <c r="K49" s="172" t="s">
        <v>246</v>
      </c>
      <c r="L49" s="173"/>
      <c r="Q49" s="197"/>
      <c r="R49" s="195"/>
      <c r="S49" s="198"/>
    </row>
    <row r="50" spans="5:19" ht="19.95" customHeight="1" x14ac:dyDescent="0.3">
      <c r="J50" s="155"/>
      <c r="K50" s="156"/>
      <c r="L50" s="157"/>
      <c r="Q50" s="197"/>
      <c r="R50" s="199" t="s">
        <v>246</v>
      </c>
      <c r="S50" s="198"/>
    </row>
    <row r="51" spans="5:19" ht="19.95" customHeight="1" x14ac:dyDescent="0.3">
      <c r="J51" s="171"/>
      <c r="K51" s="172" t="s">
        <v>246</v>
      </c>
      <c r="L51" s="173"/>
      <c r="Q51" s="197"/>
      <c r="R51" s="195"/>
      <c r="S51" s="198"/>
    </row>
    <row r="52" spans="5:19" ht="19.95" customHeight="1" x14ac:dyDescent="0.3">
      <c r="J52" s="155"/>
      <c r="K52" s="156"/>
      <c r="L52" s="157"/>
      <c r="Q52" s="198"/>
      <c r="R52" s="199" t="s">
        <v>246</v>
      </c>
      <c r="S52" s="198"/>
    </row>
    <row r="53" spans="5:19" ht="19.95" customHeight="1" x14ac:dyDescent="0.3">
      <c r="J53" s="155"/>
      <c r="K53" s="172" t="s">
        <v>246</v>
      </c>
      <c r="L53" s="157"/>
      <c r="Q53" s="198"/>
      <c r="R53" s="195"/>
      <c r="S53" s="198"/>
    </row>
    <row r="54" spans="5:19" ht="19.95" customHeight="1" x14ac:dyDescent="0.3">
      <c r="J54" s="155"/>
      <c r="K54" s="156"/>
      <c r="L54" s="157"/>
    </row>
    <row r="55" spans="5:19" ht="19.95" customHeight="1" x14ac:dyDescent="0.3">
      <c r="J55" s="157"/>
      <c r="K55" s="172" t="s">
        <v>246</v>
      </c>
      <c r="L55" s="157"/>
    </row>
    <row r="56" spans="5:19" ht="19.95" customHeight="1" x14ac:dyDescent="0.3">
      <c r="J56" s="155"/>
      <c r="K56" s="156"/>
      <c r="L56" s="157"/>
    </row>
    <row r="57" spans="5:19" ht="19.95" customHeight="1" x14ac:dyDescent="0.3">
      <c r="J57" s="155"/>
      <c r="K57" s="172" t="s">
        <v>246</v>
      </c>
      <c r="L57" s="157"/>
    </row>
    <row r="58" spans="5:19" ht="19.95" customHeight="1" x14ac:dyDescent="0.3">
      <c r="J58" s="155"/>
      <c r="K58" s="156"/>
      <c r="L58" s="157"/>
    </row>
    <row r="59" spans="5:19" ht="19.95" customHeight="1" x14ac:dyDescent="0.3">
      <c r="J59" s="157"/>
      <c r="K59" s="172" t="s">
        <v>246</v>
      </c>
      <c r="L59" s="157"/>
    </row>
    <row r="60" spans="5:19" ht="19.95" customHeight="1" x14ac:dyDescent="0.3">
      <c r="J60" s="157"/>
      <c r="K60" s="156"/>
      <c r="L60" s="157"/>
    </row>
    <row r="61" spans="5:19" ht="19.95" customHeight="1" x14ac:dyDescent="0.3"/>
    <row r="62" spans="5:19" ht="19.95" customHeight="1" x14ac:dyDescent="0.3"/>
    <row r="63" spans="5:19" ht="19.95" customHeight="1" x14ac:dyDescent="0.3"/>
    <row r="64" spans="5:19" ht="19.95" customHeight="1" x14ac:dyDescent="0.3"/>
    <row r="65" ht="19.95" customHeight="1" x14ac:dyDescent="0.3"/>
    <row r="66" ht="19.95" customHeight="1" x14ac:dyDescent="0.3"/>
    <row r="67" ht="19.95" customHeight="1" x14ac:dyDescent="0.3"/>
    <row r="68" ht="19.95" customHeight="1" x14ac:dyDescent="0.3"/>
    <row r="69" ht="19.95" customHeight="1" x14ac:dyDescent="0.3"/>
    <row r="70" ht="19.95" customHeight="1" x14ac:dyDescent="0.3"/>
    <row r="71" ht="19.95" customHeight="1" x14ac:dyDescent="0.3"/>
    <row r="72" ht="19.95" customHeight="1" x14ac:dyDescent="0.3"/>
    <row r="73" ht="19.95" customHeight="1" x14ac:dyDescent="0.3"/>
    <row r="74" ht="19.95" customHeight="1" x14ac:dyDescent="0.3"/>
    <row r="75" ht="19.95" customHeight="1" x14ac:dyDescent="0.3"/>
    <row r="76" ht="19.95" customHeight="1" x14ac:dyDescent="0.3"/>
    <row r="77" ht="18" x14ac:dyDescent="0.3"/>
  </sheetData>
  <mergeCells count="3">
    <mergeCell ref="N3:N4"/>
    <mergeCell ref="B3:B4"/>
    <mergeCell ref="B10:B11"/>
  </mergeCells>
  <phoneticPr fontId="2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ListBoxSh">
          <controlPr defaultSize="0" autoLine="0" r:id="rId5">
            <anchor moveWithCells="1">
              <from>
                <xdr:col>1</xdr:col>
                <xdr:colOff>1790700</xdr:colOff>
                <xdr:row>36</xdr:row>
                <xdr:rowOff>144780</xdr:rowOff>
              </from>
              <to>
                <xdr:col>6</xdr:col>
                <xdr:colOff>60960</xdr:colOff>
                <xdr:row>47</xdr:row>
                <xdr:rowOff>0</xdr:rowOff>
              </to>
            </anchor>
          </controlPr>
        </control>
      </mc:Choice>
      <mc:Fallback>
        <control shapeId="1026" r:id="rId4" name="ListBox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11412-DD57-4E06-A955-A78DB1F6F0B2}">
  <sheetPr codeName="Sheet9">
    <pageSetUpPr fitToPage="1"/>
  </sheetPr>
  <dimension ref="A1:I259"/>
  <sheetViews>
    <sheetView workbookViewId="0">
      <selection activeCell="B11" sqref="B11:B12"/>
    </sheetView>
  </sheetViews>
  <sheetFormatPr defaultRowHeight="15.6" x14ac:dyDescent="0.3"/>
  <cols>
    <col min="1" max="1" width="1.77734375" style="216" customWidth="1"/>
    <col min="2" max="2" width="14" style="217" bestFit="1" customWidth="1"/>
    <col min="3" max="3" width="1.77734375" style="216" customWidth="1"/>
    <col min="4" max="4" width="45.6640625" bestFit="1" customWidth="1"/>
    <col min="5" max="5" width="23.88671875" bestFit="1" customWidth="1"/>
    <col min="6" max="6" width="41.88671875" bestFit="1" customWidth="1"/>
    <col min="7" max="7" width="25.44140625" bestFit="1" customWidth="1"/>
    <col min="8" max="8" width="27.77734375" bestFit="1" customWidth="1"/>
    <col min="9" max="9" width="32.109375" bestFit="1" customWidth="1"/>
  </cols>
  <sheetData>
    <row r="1" spans="1:9" ht="16.2" thickBot="1" x14ac:dyDescent="0.35">
      <c r="A1" s="212"/>
      <c r="B1" s="213"/>
      <c r="C1" s="212"/>
      <c r="D1" s="16"/>
      <c r="E1" s="351" t="str">
        <f>Runsheet!E7</f>
        <v>Day 1</v>
      </c>
      <c r="F1" s="351"/>
      <c r="G1" s="351"/>
      <c r="H1" s="17"/>
      <c r="I1" s="18"/>
    </row>
    <row r="2" spans="1:9" ht="15" thickTop="1" x14ac:dyDescent="0.3">
      <c r="A2" s="212"/>
      <c r="B2" s="318" t="s">
        <v>264</v>
      </c>
      <c r="C2" s="212"/>
      <c r="D2" s="19"/>
      <c r="E2" s="352">
        <f>Runsheet!E6</f>
        <v>44786</v>
      </c>
      <c r="F2" s="352"/>
      <c r="G2" s="352"/>
      <c r="H2" s="4"/>
      <c r="I2" s="21"/>
    </row>
    <row r="3" spans="1:9" ht="15" thickBot="1" x14ac:dyDescent="0.35">
      <c r="A3" s="212"/>
      <c r="B3" s="319"/>
      <c r="C3" s="212"/>
      <c r="D3" s="19"/>
      <c r="E3" s="240"/>
      <c r="F3" s="240"/>
      <c r="G3" s="240"/>
      <c r="H3" s="4"/>
      <c r="I3" s="21"/>
    </row>
    <row r="4" spans="1:9" ht="16.8" thickTop="1" thickBot="1" x14ac:dyDescent="0.35">
      <c r="A4" s="212"/>
      <c r="B4" s="213"/>
      <c r="C4" s="212"/>
      <c r="D4" s="354" t="s">
        <v>179</v>
      </c>
      <c r="E4" s="355"/>
      <c r="F4" s="355"/>
      <c r="G4" s="355"/>
      <c r="H4" s="355"/>
      <c r="I4" s="356"/>
    </row>
    <row r="5" spans="1:9" ht="15" thickTop="1" x14ac:dyDescent="0.3">
      <c r="A5" s="212"/>
      <c r="B5" s="320" t="s">
        <v>247</v>
      </c>
      <c r="C5" s="212"/>
      <c r="D5" s="253" t="s">
        <v>37</v>
      </c>
      <c r="E5" s="136" t="s">
        <v>190</v>
      </c>
      <c r="F5" s="136" t="s">
        <v>195</v>
      </c>
      <c r="G5" s="136" t="s">
        <v>200</v>
      </c>
      <c r="H5" s="4"/>
      <c r="I5" s="21"/>
    </row>
    <row r="6" spans="1:9" ht="15" thickBot="1" x14ac:dyDescent="0.35">
      <c r="A6" s="212"/>
      <c r="B6" s="321"/>
      <c r="C6" s="212"/>
      <c r="D6" s="254" t="str">
        <f>guest_lists[[#This Row],[tour_type]]</f>
        <v>12 - DPCYT</v>
      </c>
      <c r="E6" s="137" t="str">
        <f>guest_lists[[#This Row],[guest_lists]]</f>
        <v>Penelope Lister</v>
      </c>
      <c r="F6" s="137" t="str">
        <f>guest_lists[[#This Row],[party]]</f>
        <v>party_1 G1</v>
      </c>
      <c r="G6" s="137" t="str">
        <f>guest_lists[[#This Row],[dietary_requirements2]]</f>
        <v>nil</v>
      </c>
      <c r="H6" s="4"/>
      <c r="I6" s="21"/>
    </row>
    <row r="7" spans="1:9" ht="16.8" thickTop="1" thickBot="1" x14ac:dyDescent="0.35">
      <c r="A7" s="214"/>
      <c r="B7" s="213"/>
      <c r="C7" s="214"/>
      <c r="D7" s="254" t="str">
        <f>guest_lists[[#This Row],[tour_type]]</f>
        <v>12 - DPCYT</v>
      </c>
      <c r="E7" s="137" t="str">
        <f>guest_lists[[#This Row],[guest_lists]]</f>
        <v>Gerald Lister</v>
      </c>
      <c r="F7" s="137" t="str">
        <f>guest_lists[[#This Row],[party]]</f>
        <v>party_1 G2</v>
      </c>
      <c r="G7" s="137" t="str">
        <f>guest_lists[[#This Row],[dietary_requirements2]]</f>
        <v>nil</v>
      </c>
      <c r="H7" s="4"/>
      <c r="I7" s="21"/>
    </row>
    <row r="8" spans="1:9" ht="15" thickTop="1" x14ac:dyDescent="0.3">
      <c r="A8" s="212"/>
      <c r="B8" s="318" t="s">
        <v>265</v>
      </c>
      <c r="C8" s="212"/>
      <c r="D8" s="254" t="str">
        <f>guest_lists[[#This Row],[tour_type]]</f>
        <v>12 - DPCYT</v>
      </c>
      <c r="E8" s="137" t="str">
        <f>guest_lists[[#This Row],[guest_lists]]</f>
        <v>Denis Lister</v>
      </c>
      <c r="F8" s="137" t="str">
        <f>guest_lists[[#This Row],[party]]</f>
        <v>party_2 G1</v>
      </c>
      <c r="G8" s="137" t="str">
        <f>guest_lists[[#This Row],[dietary_requirements2]]</f>
        <v>nil</v>
      </c>
      <c r="H8" s="4"/>
      <c r="I8" s="21"/>
    </row>
    <row r="9" spans="1:9" ht="15" thickBot="1" x14ac:dyDescent="0.35">
      <c r="A9" s="212"/>
      <c r="B9" s="319"/>
      <c r="C9" s="215"/>
      <c r="D9" s="254" t="str">
        <f>guest_lists[[#This Row],[tour_type]]</f>
        <v>12 - DSCYT</v>
      </c>
      <c r="E9" s="137" t="str">
        <f>guest_lists[[#This Row],[guest_lists]]</f>
        <v>Mark Morgan</v>
      </c>
      <c r="F9" s="137" t="str">
        <f>guest_lists[[#This Row],[party]]</f>
        <v>party_3 G1</v>
      </c>
      <c r="G9" s="137" t="str">
        <f>guest_lists[[#This Row],[dietary_requirements2]]</f>
        <v>nil</v>
      </c>
      <c r="H9" s="4"/>
      <c r="I9" s="21"/>
    </row>
    <row r="10" spans="1:9" ht="16.8" thickTop="1" thickBot="1" x14ac:dyDescent="0.35">
      <c r="A10" s="212"/>
      <c r="B10" s="213"/>
      <c r="C10" s="215"/>
      <c r="D10" s="254" t="str">
        <f>guest_lists[[#This Row],[tour_type]]</f>
        <v>12 - DSCYT</v>
      </c>
      <c r="E10" s="137" t="str">
        <f>guest_lists[[#This Row],[guest_lists]]</f>
        <v>Nicola Morgan</v>
      </c>
      <c r="F10" s="137" t="str">
        <f>guest_lists[[#This Row],[party]]</f>
        <v>party_3 G2</v>
      </c>
      <c r="G10" s="137" t="str">
        <f>guest_lists[[#This Row],[dietary_requirements2]]</f>
        <v>nil</v>
      </c>
      <c r="H10" s="4"/>
      <c r="I10" s="21"/>
    </row>
    <row r="11" spans="1:9" ht="15" thickTop="1" x14ac:dyDescent="0.3">
      <c r="A11" s="212"/>
      <c r="B11" s="318" t="s">
        <v>511</v>
      </c>
      <c r="C11" s="215"/>
      <c r="D11" s="254" t="str">
        <f>guest_lists[[#This Row],[tour_type]]</f>
        <v>12 - DSCYT</v>
      </c>
      <c r="E11" s="137" t="str">
        <f>guest_lists[[#This Row],[guest_lists]]</f>
        <v>Joan Roberts</v>
      </c>
      <c r="F11" s="137" t="str">
        <f>guest_lists[[#This Row],[party]]</f>
        <v>party_4 G1</v>
      </c>
      <c r="G11" s="137" t="str">
        <f>guest_lists[[#This Row],[dietary_requirements2]]</f>
        <v>nil</v>
      </c>
      <c r="H11" s="4"/>
      <c r="I11" s="21"/>
    </row>
    <row r="12" spans="1:9" ht="15" thickBot="1" x14ac:dyDescent="0.35">
      <c r="A12" s="212"/>
      <c r="B12" s="319"/>
      <c r="C12" s="215"/>
      <c r="D12" s="254" t="str">
        <f>guest_lists[[#This Row],[tour_type]]</f>
        <v>12 - DSCYT</v>
      </c>
      <c r="E12" s="137" t="str">
        <f>guest_lists[[#This Row],[guest_lists]]</f>
        <v>Valerie Mead</v>
      </c>
      <c r="F12" s="137" t="str">
        <f>guest_lists[[#This Row],[party]]</f>
        <v>party_4 G2</v>
      </c>
      <c r="G12" s="137" t="str">
        <f>guest_lists[[#This Row],[dietary_requirements2]]</f>
        <v>nil</v>
      </c>
      <c r="H12" s="228"/>
      <c r="I12" s="21"/>
    </row>
    <row r="13" spans="1:9" ht="16.8" thickTop="1" thickBot="1" x14ac:dyDescent="0.35">
      <c r="A13" s="212"/>
      <c r="B13" s="213"/>
      <c r="C13" s="215"/>
      <c r="D13" s="254" t="str">
        <f>guest_lists[[#This Row],[tour_type]]</f>
        <v>12 - DSCYT</v>
      </c>
      <c r="E13" s="137" t="str">
        <f>guest_lists[[#This Row],[guest_lists]]</f>
        <v>Ann Berriman</v>
      </c>
      <c r="F13" s="137" t="str">
        <f>guest_lists[[#This Row],[party]]</f>
        <v>party_5 G1</v>
      </c>
      <c r="G13" s="137" t="str">
        <f>guest_lists[[#This Row],[dietary_requirements2]]</f>
        <v>nil</v>
      </c>
      <c r="H13" s="228"/>
      <c r="I13" s="21"/>
    </row>
    <row r="14" spans="1:9" ht="15" thickTop="1" x14ac:dyDescent="0.3">
      <c r="A14" s="212"/>
      <c r="B14" s="318" t="s">
        <v>512</v>
      </c>
      <c r="C14" s="215"/>
      <c r="D14" s="254" t="str">
        <f>guest_lists[[#This Row],[tour_type]]</f>
        <v>12 - DSCYT</v>
      </c>
      <c r="E14" s="137" t="str">
        <f>guest_lists[[#This Row],[guest_lists]]</f>
        <v>Wanda Drost</v>
      </c>
      <c r="F14" s="137" t="str">
        <f>guest_lists[[#This Row],[party]]</f>
        <v>party_5 G2</v>
      </c>
      <c r="G14" s="137" t="str">
        <f>guest_lists[[#This Row],[dietary_requirements2]]</f>
        <v>celiac</v>
      </c>
      <c r="H14" s="228"/>
      <c r="I14" s="21"/>
    </row>
    <row r="15" spans="1:9" ht="15" thickBot="1" x14ac:dyDescent="0.35">
      <c r="A15" s="212"/>
      <c r="B15" s="319"/>
      <c r="C15" s="215"/>
      <c r="D15" s="254" t="str">
        <f>guest_lists[[#This Row],[tour_type]]</f>
        <v>5 - DTT</v>
      </c>
      <c r="E15" s="137" t="str">
        <f>guest_lists[[#This Row],[guest_lists]]</f>
        <v>Ian Neil</v>
      </c>
      <c r="F15" s="137" t="str">
        <f>guest_lists[[#This Row],[party]]</f>
        <v>party_6 G1</v>
      </c>
      <c r="G15" s="137" t="str">
        <f>guest_lists[[#This Row],[dietary_requirements2]]</f>
        <v>nil</v>
      </c>
      <c r="H15" s="228"/>
      <c r="I15" s="21"/>
    </row>
    <row r="16" spans="1:9" ht="16.8" thickTop="1" thickBot="1" x14ac:dyDescent="0.35">
      <c r="A16" s="212"/>
      <c r="B16" s="213"/>
      <c r="C16" s="215"/>
      <c r="D16" s="254" t="str">
        <f>guest_lists[[#This Row],[tour_type]]</f>
        <v>5 - DTT</v>
      </c>
      <c r="E16" s="137" t="str">
        <f>guest_lists[[#This Row],[guest_lists]]</f>
        <v>Graheme Fergueson</v>
      </c>
      <c r="F16" s="137" t="str">
        <f>guest_lists[[#This Row],[party]]</f>
        <v>party_6 G2</v>
      </c>
      <c r="G16" s="137" t="str">
        <f>guest_lists[[#This Row],[dietary_requirements2]]</f>
        <v>nil</v>
      </c>
      <c r="H16" s="228"/>
      <c r="I16" s="21"/>
    </row>
    <row r="17" spans="1:9" ht="15" thickTop="1" x14ac:dyDescent="0.3">
      <c r="A17" s="212"/>
      <c r="B17" s="318" t="s">
        <v>266</v>
      </c>
      <c r="C17" s="215"/>
      <c r="D17" s="254" t="str">
        <f>guest_lists[[#This Row],[tour_type]]</f>
        <v>9 - DPSYT</v>
      </c>
      <c r="E17" s="137" t="str">
        <f>guest_lists[[#This Row],[guest_lists]]</f>
        <v>Raewyn Brookie</v>
      </c>
      <c r="F17" s="137" t="str">
        <f>guest_lists[[#This Row],[party]]</f>
        <v>party_7 G1</v>
      </c>
      <c r="G17" s="137" t="str">
        <f>guest_lists[[#This Row],[dietary_requirements2]]</f>
        <v>nil</v>
      </c>
      <c r="H17" s="228"/>
      <c r="I17" s="21"/>
    </row>
    <row r="18" spans="1:9" ht="15" thickBot="1" x14ac:dyDescent="0.35">
      <c r="A18" s="212"/>
      <c r="B18" s="319"/>
      <c r="C18" s="215"/>
      <c r="D18" s="312"/>
      <c r="E18" s="313"/>
      <c r="F18" s="313"/>
      <c r="G18" s="313"/>
      <c r="H18" s="228"/>
      <c r="I18" s="21"/>
    </row>
    <row r="19" spans="1:9" ht="16.8" thickTop="1" thickBot="1" x14ac:dyDescent="0.35">
      <c r="A19" s="212"/>
      <c r="B19" s="213"/>
      <c r="C19" s="215"/>
      <c r="D19" s="325" t="s">
        <v>33</v>
      </c>
      <c r="E19" s="326"/>
      <c r="F19" s="326"/>
      <c r="G19" s="326"/>
      <c r="H19" s="326"/>
      <c r="I19" s="327"/>
    </row>
    <row r="20" spans="1:9" ht="15" thickTop="1" x14ac:dyDescent="0.3">
      <c r="A20" s="212"/>
      <c r="B20" s="318" t="s">
        <v>267</v>
      </c>
      <c r="C20" s="215"/>
      <c r="D20" s="129" t="str">
        <f>Runsheet!E8</f>
        <v>Accommodation Booked</v>
      </c>
      <c r="E20" s="73" t="str">
        <f>Runsheet!E9</f>
        <v>Accommodation Entity</v>
      </c>
      <c r="F20" s="73" t="str">
        <f>Runsheet!F9</f>
        <v>Address</v>
      </c>
      <c r="G20" s="73" t="str">
        <f>Runsheet!G9</f>
        <v>Number of rooms on hold</v>
      </c>
      <c r="H20" s="73" t="str">
        <f>Runsheet!H9</f>
        <v>Bedding Configuration Booked</v>
      </c>
      <c r="I20" s="130" t="str">
        <f>Runsheet!I9</f>
        <v>Contact Details</v>
      </c>
    </row>
    <row r="21" spans="1:9" ht="15" thickBot="1" x14ac:dyDescent="0.35">
      <c r="A21" s="212"/>
      <c r="B21" s="319"/>
      <c r="C21" s="215"/>
      <c r="D21" s="131" t="str">
        <f>Runsheet!D10</f>
        <v>Accommodation #1</v>
      </c>
      <c r="E21" s="61" t="str">
        <f>Runsheet!E10</f>
        <v>Mena Creek Flower House</v>
      </c>
      <c r="F21" s="61" t="str">
        <f>Runsheet!F10</f>
        <v>546 Utchee Creek Rd, Mena Creek QLD 4871</v>
      </c>
      <c r="G21" s="61">
        <f>Runsheet!G10</f>
        <v>2</v>
      </c>
      <c r="H21" s="61">
        <f>Runsheet!H10</f>
        <v>0</v>
      </c>
      <c r="I21" s="40" t="str">
        <f>data_formula_legend!I65</f>
        <v>(07) 4065 3409</v>
      </c>
    </row>
    <row r="22" spans="1:9" ht="16.8" thickTop="1" thickBot="1" x14ac:dyDescent="0.35">
      <c r="A22" s="212"/>
      <c r="B22" s="213"/>
      <c r="C22" s="215"/>
      <c r="D22" s="131" t="str">
        <f>Runsheet!D11</f>
        <v>Accommodation #2</v>
      </c>
      <c r="E22" s="61" t="str">
        <f>Runsheet!E11</f>
        <v>Paronella Park Cabin</v>
      </c>
      <c r="F22" s="61" t="str">
        <f>Runsheet!F11</f>
        <v>1671 Innisfail Japoon Rd, Mena Creek QLD 4871</v>
      </c>
      <c r="G22" s="61">
        <f>Runsheet!G11</f>
        <v>5</v>
      </c>
      <c r="H22" s="61">
        <f>Runsheet!H11</f>
        <v>0</v>
      </c>
      <c r="I22" s="40" t="str">
        <f>data_formula_legend!I66</f>
        <v>(07) 4065 0000</v>
      </c>
    </row>
    <row r="23" spans="1:9" ht="15" thickTop="1" x14ac:dyDescent="0.3">
      <c r="A23" s="212"/>
      <c r="B23" s="318" t="s">
        <v>268</v>
      </c>
      <c r="C23" s="215"/>
      <c r="D23" s="131" t="str">
        <f>Runsheet!D12</f>
        <v>Accommodation #3</v>
      </c>
      <c r="E23" s="61" t="str">
        <f>Runsheet!E12</f>
        <v>Mena Creek Hotel</v>
      </c>
      <c r="F23" s="61" t="str">
        <f>Runsheet!F12</f>
        <v>1 Mena Creek Rd, Mena Creek QLD 4871</v>
      </c>
      <c r="G23" s="61">
        <f>Runsheet!G12</f>
        <v>1</v>
      </c>
      <c r="H23" s="61">
        <f>Runsheet!H12</f>
        <v>0</v>
      </c>
      <c r="I23" s="40" t="str">
        <f>data_formula_legend!I67</f>
        <v>(07) 4065 3201</v>
      </c>
    </row>
    <row r="24" spans="1:9" ht="15" thickBot="1" x14ac:dyDescent="0.35">
      <c r="A24" s="212"/>
      <c r="B24" s="319"/>
      <c r="C24" s="215"/>
      <c r="D24" s="131" t="str">
        <f>Runsheet!D13</f>
        <v>Accommodation #4</v>
      </c>
      <c r="E24" s="61">
        <f>Runsheet!E13</f>
        <v>0</v>
      </c>
      <c r="F24" s="61">
        <f>Runsheet!F13</f>
        <v>0</v>
      </c>
      <c r="G24" s="61">
        <f>Runsheet!G13</f>
        <v>0</v>
      </c>
      <c r="H24" s="61">
        <f>Runsheet!H13</f>
        <v>0</v>
      </c>
      <c r="I24" s="40">
        <f>data_formula_legend!I68</f>
        <v>0</v>
      </c>
    </row>
    <row r="25" spans="1:9" ht="16.8" thickTop="1" thickBot="1" x14ac:dyDescent="0.35">
      <c r="A25" s="212"/>
      <c r="B25" s="213"/>
      <c r="C25" s="215"/>
      <c r="D25" s="19"/>
      <c r="E25" s="4"/>
      <c r="F25" s="20" t="str">
        <f>Runsheet!F14</f>
        <v xml:space="preserve">Total Accommodation </v>
      </c>
      <c r="G25" s="74">
        <f>Runsheet!G14</f>
        <v>8</v>
      </c>
      <c r="H25" s="4"/>
      <c r="I25" s="21"/>
    </row>
    <row r="26" spans="1:9" ht="15" thickTop="1" x14ac:dyDescent="0.3">
      <c r="A26" s="212"/>
      <c r="B26" s="318" t="s">
        <v>269</v>
      </c>
      <c r="C26" s="215"/>
      <c r="D26" s="325" t="str">
        <f>Runsheet!D15</f>
        <v>Guests Accommodation</v>
      </c>
      <c r="E26" s="326"/>
      <c r="F26" s="326"/>
      <c r="G26" s="326"/>
      <c r="H26" s="326"/>
      <c r="I26" s="327"/>
    </row>
    <row r="27" spans="1:9" ht="15" thickBot="1" x14ac:dyDescent="0.35">
      <c r="A27" s="212"/>
      <c r="B27" s="319"/>
      <c r="C27" s="215"/>
      <c r="D27" s="100" t="s">
        <v>195</v>
      </c>
      <c r="E27" s="76" t="s">
        <v>36</v>
      </c>
      <c r="F27" s="72" t="s">
        <v>33</v>
      </c>
      <c r="G27" s="20" t="s">
        <v>161</v>
      </c>
      <c r="H27" s="20" t="s">
        <v>186</v>
      </c>
      <c r="I27" s="48" t="s">
        <v>189</v>
      </c>
    </row>
    <row r="28" spans="1:9" ht="16.8" thickTop="1" thickBot="1" x14ac:dyDescent="0.35">
      <c r="A28" s="212"/>
      <c r="B28" s="213"/>
      <c r="C28" s="215"/>
      <c r="D28" s="353" t="str">
        <f>Runsheet!D17</f>
        <v>Party 1</v>
      </c>
      <c r="E28" s="65" t="str">
        <f>Runsheet!E17</f>
        <v>Penelope Lister</v>
      </c>
      <c r="F28" s="65" t="str">
        <f>Runsheet!G17</f>
        <v>Mena Creek Flower House</v>
      </c>
      <c r="G28" s="65" t="str">
        <f>Runsheet!H17</f>
        <v>double</v>
      </c>
      <c r="H28" s="65">
        <f>Runsheet!I17</f>
        <v>0</v>
      </c>
      <c r="I28" s="255">
        <f>Runsheet!J17</f>
        <v>0</v>
      </c>
    </row>
    <row r="29" spans="1:9" ht="15" thickTop="1" x14ac:dyDescent="0.3">
      <c r="A29" s="212"/>
      <c r="B29" s="318" t="s">
        <v>270</v>
      </c>
      <c r="C29" s="215"/>
      <c r="D29" s="353"/>
      <c r="E29" s="65" t="str">
        <f>Runsheet!E18</f>
        <v>Gerald Lister</v>
      </c>
      <c r="F29" s="65" t="str">
        <f>Runsheet!G18</f>
        <v>Mena Creek Flower House</v>
      </c>
      <c r="G29" s="65" t="str">
        <f>Runsheet!H18</f>
        <v>double</v>
      </c>
      <c r="H29" s="65">
        <f>Runsheet!I18</f>
        <v>0</v>
      </c>
      <c r="I29" s="255">
        <f>Runsheet!J18</f>
        <v>0</v>
      </c>
    </row>
    <row r="30" spans="1:9" ht="15" thickBot="1" x14ac:dyDescent="0.35">
      <c r="A30" s="212"/>
      <c r="B30" s="319"/>
      <c r="C30" s="215"/>
      <c r="D30" s="353" t="str">
        <f>Runsheet!D19</f>
        <v>Party 2</v>
      </c>
      <c r="E30" s="65" t="str">
        <f>Runsheet!E19</f>
        <v>Denis Lister</v>
      </c>
      <c r="F30" s="65" t="str">
        <f>Runsheet!G19</f>
        <v>Mena Creek Flower House</v>
      </c>
      <c r="G30" s="65" t="str">
        <f>Runsheet!H19</f>
        <v>double</v>
      </c>
      <c r="H30" s="65">
        <f>Runsheet!I19</f>
        <v>0</v>
      </c>
      <c r="I30" s="255">
        <f>Runsheet!J19</f>
        <v>0</v>
      </c>
    </row>
    <row r="31" spans="1:9" ht="16.8" thickTop="1" thickBot="1" x14ac:dyDescent="0.35">
      <c r="A31" s="212"/>
      <c r="B31" s="213"/>
      <c r="C31" s="215"/>
      <c r="D31" s="353"/>
      <c r="E31" s="65" t="e">
        <f>Runsheet!E20</f>
        <v>#N/A</v>
      </c>
      <c r="F31" s="65">
        <f>Runsheet!G20</f>
        <v>0</v>
      </c>
      <c r="G31" s="65">
        <f>Runsheet!H20</f>
        <v>0</v>
      </c>
      <c r="H31" s="65">
        <f>Runsheet!I20</f>
        <v>0</v>
      </c>
      <c r="I31" s="255">
        <f>Runsheet!J20</f>
        <v>0</v>
      </c>
    </row>
    <row r="32" spans="1:9" ht="15" thickTop="1" x14ac:dyDescent="0.3">
      <c r="A32" s="212"/>
      <c r="B32" s="318" t="s">
        <v>271</v>
      </c>
      <c r="C32" s="215"/>
      <c r="D32" s="353" t="str">
        <f>Runsheet!D21</f>
        <v>Party 3</v>
      </c>
      <c r="E32" s="65" t="str">
        <f>Runsheet!E21</f>
        <v>Mark Morgan</v>
      </c>
      <c r="F32" s="65" t="str">
        <f>Runsheet!G21</f>
        <v>Paronella Park Cabin</v>
      </c>
      <c r="G32" s="65" t="str">
        <f>Runsheet!H21</f>
        <v>double</v>
      </c>
      <c r="H32" s="65">
        <f>Runsheet!I21</f>
        <v>0</v>
      </c>
      <c r="I32" s="255">
        <f>Runsheet!J21</f>
        <v>0</v>
      </c>
    </row>
    <row r="33" spans="1:9" ht="15" thickBot="1" x14ac:dyDescent="0.35">
      <c r="A33" s="212"/>
      <c r="B33" s="319"/>
      <c r="C33" s="215"/>
      <c r="D33" s="353"/>
      <c r="E33" s="65" t="str">
        <f>Runsheet!E22</f>
        <v>Nicola Morgan</v>
      </c>
      <c r="F33" s="65" t="str">
        <f>Runsheet!G22</f>
        <v>Paronella Park Cabin</v>
      </c>
      <c r="G33" s="65" t="str">
        <f>Runsheet!H22</f>
        <v>double</v>
      </c>
      <c r="H33" s="65">
        <f>Runsheet!I22</f>
        <v>0</v>
      </c>
      <c r="I33" s="255">
        <f>Runsheet!J22</f>
        <v>0</v>
      </c>
    </row>
    <row r="34" spans="1:9" ht="16.8" thickTop="1" thickBot="1" x14ac:dyDescent="0.35">
      <c r="A34" s="212"/>
      <c r="B34" s="213"/>
      <c r="C34" s="215"/>
      <c r="D34" s="353" t="str">
        <f>Runsheet!D23</f>
        <v>Party 4</v>
      </c>
      <c r="E34" s="65" t="str">
        <f>Runsheet!E23</f>
        <v>Joan Roberts</v>
      </c>
      <c r="F34" s="65" t="str">
        <f>Runsheet!G23</f>
        <v>Paronella Park Cabin</v>
      </c>
      <c r="G34" s="65" t="str">
        <f>Runsheet!H23</f>
        <v>twin</v>
      </c>
      <c r="H34" s="65">
        <f>Runsheet!I23</f>
        <v>0</v>
      </c>
      <c r="I34" s="255">
        <f>Runsheet!J23</f>
        <v>0</v>
      </c>
    </row>
    <row r="35" spans="1:9" ht="15" thickTop="1" x14ac:dyDescent="0.3">
      <c r="A35" s="212"/>
      <c r="B35" s="318" t="s">
        <v>272</v>
      </c>
      <c r="C35" s="215"/>
      <c r="D35" s="353"/>
      <c r="E35" s="65" t="str">
        <f>Runsheet!E24</f>
        <v>Valerie Mead</v>
      </c>
      <c r="F35" s="65" t="str">
        <f>Runsheet!G24</f>
        <v>Paronella Park Cabin</v>
      </c>
      <c r="G35" s="65" t="str">
        <f>Runsheet!H24</f>
        <v>twin</v>
      </c>
      <c r="H35" s="65">
        <f>Runsheet!I24</f>
        <v>0</v>
      </c>
      <c r="I35" s="255">
        <f>Runsheet!J24</f>
        <v>0</v>
      </c>
    </row>
    <row r="36" spans="1:9" ht="15" thickBot="1" x14ac:dyDescent="0.35">
      <c r="A36" s="212"/>
      <c r="B36" s="319"/>
      <c r="C36" s="215"/>
      <c r="D36" s="353" t="str">
        <f>Runsheet!D25</f>
        <v>Party 5</v>
      </c>
      <c r="E36" s="65" t="str">
        <f>Runsheet!E25</f>
        <v>Ann Berriman</v>
      </c>
      <c r="F36" s="65" t="str">
        <f>Runsheet!G25</f>
        <v>Paronella Park Cabin</v>
      </c>
      <c r="G36" s="65" t="str">
        <f>Runsheet!H25</f>
        <v>double</v>
      </c>
      <c r="H36" s="65">
        <f>Runsheet!I25</f>
        <v>0</v>
      </c>
      <c r="I36" s="255" t="str">
        <f>Runsheet!J25</f>
        <v>no twin av</v>
      </c>
    </row>
    <row r="37" spans="1:9" ht="16.8" thickTop="1" thickBot="1" x14ac:dyDescent="0.35">
      <c r="A37" s="212"/>
      <c r="B37" s="213"/>
      <c r="C37" s="215"/>
      <c r="D37" s="353"/>
      <c r="E37" s="65" t="str">
        <f>Runsheet!E26</f>
        <v>Wanda Drost</v>
      </c>
      <c r="F37" s="65" t="str">
        <f>Runsheet!G26</f>
        <v>Paronella Park Cabin</v>
      </c>
      <c r="G37" s="65" t="str">
        <f>Runsheet!H26</f>
        <v>double</v>
      </c>
      <c r="H37" s="65">
        <f>Runsheet!I26</f>
        <v>0</v>
      </c>
      <c r="I37" s="255">
        <f>Runsheet!J26</f>
        <v>0</v>
      </c>
    </row>
    <row r="38" spans="1:9" ht="15" thickTop="1" x14ac:dyDescent="0.3">
      <c r="A38" s="212"/>
      <c r="B38" s="318" t="s">
        <v>273</v>
      </c>
      <c r="C38" s="215"/>
      <c r="D38" s="353" t="str">
        <f>Runsheet!D27</f>
        <v>Party 6</v>
      </c>
      <c r="E38" s="65" t="str">
        <f>Runsheet!E27</f>
        <v>Ian Neil</v>
      </c>
      <c r="F38" s="65" t="str">
        <f>Runsheet!G27</f>
        <v>Paronella Park Cabin</v>
      </c>
      <c r="G38" s="65" t="str">
        <f>Runsheet!H27</f>
        <v>double</v>
      </c>
      <c r="H38" s="65">
        <f>Runsheet!I27</f>
        <v>0</v>
      </c>
      <c r="I38" s="255">
        <f>Runsheet!J27</f>
        <v>0</v>
      </c>
    </row>
    <row r="39" spans="1:9" ht="15" thickBot="1" x14ac:dyDescent="0.35">
      <c r="A39" s="212"/>
      <c r="B39" s="319"/>
      <c r="C39" s="215"/>
      <c r="D39" s="353"/>
      <c r="E39" s="65" t="str">
        <f>Runsheet!E28</f>
        <v>Graheme Fergueson</v>
      </c>
      <c r="F39" s="65" t="str">
        <f>Runsheet!G28</f>
        <v>Paronella Park Cabin</v>
      </c>
      <c r="G39" s="65" t="str">
        <f>Runsheet!H28</f>
        <v>double</v>
      </c>
      <c r="H39" s="65">
        <f>Runsheet!I28</f>
        <v>0</v>
      </c>
      <c r="I39" s="255">
        <f>Runsheet!J28</f>
        <v>0</v>
      </c>
    </row>
    <row r="40" spans="1:9" ht="16.8" thickTop="1" thickBot="1" x14ac:dyDescent="0.35">
      <c r="A40" s="212"/>
      <c r="B40" s="213"/>
      <c r="C40" s="215"/>
      <c r="D40" s="353" t="str">
        <f>Runsheet!D29</f>
        <v>Party 7</v>
      </c>
      <c r="E40" s="65" t="str">
        <f>Runsheet!E29</f>
        <v>Raewyn Brookie</v>
      </c>
      <c r="F40" s="65">
        <f>Runsheet!G29</f>
        <v>0</v>
      </c>
      <c r="G40" s="65">
        <f>Runsheet!H29</f>
        <v>0</v>
      </c>
      <c r="H40" s="65">
        <f>Runsheet!I29</f>
        <v>0</v>
      </c>
      <c r="I40" s="255">
        <f>Runsheet!J29</f>
        <v>0</v>
      </c>
    </row>
    <row r="41" spans="1:9" ht="15" thickTop="1" x14ac:dyDescent="0.3">
      <c r="A41" s="212"/>
      <c r="B41" s="318" t="s">
        <v>274</v>
      </c>
      <c r="C41" s="215"/>
      <c r="D41" s="353"/>
      <c r="E41" s="65" t="e">
        <f>Runsheet!E30</f>
        <v>#N/A</v>
      </c>
      <c r="F41" s="65">
        <f>Runsheet!G30</f>
        <v>0</v>
      </c>
      <c r="G41" s="65">
        <f>Runsheet!H30</f>
        <v>0</v>
      </c>
      <c r="H41" s="65">
        <f>Runsheet!I30</f>
        <v>0</v>
      </c>
      <c r="I41" s="255">
        <f>Runsheet!J30</f>
        <v>0</v>
      </c>
    </row>
    <row r="42" spans="1:9" ht="15" thickBot="1" x14ac:dyDescent="0.35">
      <c r="A42" s="212"/>
      <c r="B42" s="319"/>
      <c r="C42" s="215"/>
      <c r="D42" s="325" t="s">
        <v>418</v>
      </c>
      <c r="E42" s="326"/>
      <c r="F42" s="326"/>
      <c r="G42" s="326"/>
      <c r="H42" s="326"/>
      <c r="I42" s="327"/>
    </row>
    <row r="43" spans="1:9" ht="16.8" thickTop="1" thickBot="1" x14ac:dyDescent="0.35">
      <c r="A43" s="212"/>
      <c r="B43" s="213"/>
      <c r="C43" s="215"/>
      <c r="D43" s="252"/>
      <c r="E43" s="221" t="str">
        <f>Runsheet!E32</f>
        <v>Guide Name</v>
      </c>
      <c r="F43" s="221" t="str">
        <f>Runsheet!F32</f>
        <v>Accommodation</v>
      </c>
      <c r="G43" s="221" t="str">
        <f>Runsheet!G32</f>
        <v>Bedding Configuration</v>
      </c>
      <c r="H43" s="221" t="str">
        <f>Runsheet!H32</f>
        <v>Room Number</v>
      </c>
      <c r="I43" s="256" t="str">
        <f>Runsheet!I32</f>
        <v>extra notes</v>
      </c>
    </row>
    <row r="44" spans="1:9" ht="15" thickTop="1" x14ac:dyDescent="0.3">
      <c r="A44" s="212"/>
      <c r="B44" s="318" t="s">
        <v>275</v>
      </c>
      <c r="C44" s="215"/>
      <c r="D44" s="241" t="str">
        <f>Runsheet!D33</f>
        <v>Guide 1</v>
      </c>
      <c r="E44" s="68" t="str">
        <f>Runsheet!E33</f>
        <v>Malia Schmidt</v>
      </c>
      <c r="F44" s="68" t="str">
        <f>Runsheet!F33</f>
        <v>Mena Creek Hotel</v>
      </c>
      <c r="G44" s="68" t="str">
        <f>Runsheet!G33</f>
        <v>single</v>
      </c>
      <c r="H44" s="68">
        <f>Runsheet!H33</f>
        <v>0</v>
      </c>
      <c r="I44" s="257" t="str">
        <f>Runsheet!I33</f>
        <v>1 x triple room at Mena Creek Hotel</v>
      </c>
    </row>
    <row r="45" spans="1:9" ht="15" thickBot="1" x14ac:dyDescent="0.35">
      <c r="A45" s="212"/>
      <c r="B45" s="319"/>
      <c r="C45" s="215"/>
      <c r="D45" s="241" t="str">
        <f>Runsheet!D34</f>
        <v>Guide 2</v>
      </c>
      <c r="E45" s="68" t="str">
        <f>Runsheet!E34</f>
        <v>Mark Cromwell</v>
      </c>
      <c r="F45" s="68" t="str">
        <f>Runsheet!F34</f>
        <v>Mena Creek Hotel</v>
      </c>
      <c r="G45" s="68" t="str">
        <f>Runsheet!G34</f>
        <v>single</v>
      </c>
      <c r="H45" s="68">
        <f>Runsheet!H34</f>
        <v>0</v>
      </c>
      <c r="I45" s="257" t="str">
        <f>Runsheet!I34</f>
        <v>1 x triple room at Mena Creek Hotel</v>
      </c>
    </row>
    <row r="46" spans="1:9" ht="16.8" thickTop="1" thickBot="1" x14ac:dyDescent="0.35">
      <c r="A46" s="212"/>
      <c r="B46" s="213"/>
      <c r="C46" s="215"/>
      <c r="D46" s="241" t="str">
        <f>Runsheet!D35</f>
        <v>Guide 3</v>
      </c>
      <c r="E46" s="68" t="str">
        <f>Runsheet!E35</f>
        <v>Orion</v>
      </c>
      <c r="F46" s="68" t="str">
        <f>Runsheet!F35</f>
        <v>Mena Creek Hotel</v>
      </c>
      <c r="G46" s="68" t="str">
        <f>Runsheet!G35</f>
        <v>single</v>
      </c>
      <c r="H46" s="68">
        <f>Runsheet!H35</f>
        <v>0</v>
      </c>
      <c r="I46" s="257" t="str">
        <f>Runsheet!I35</f>
        <v>1 x triple room at Mena Creek Hotel</v>
      </c>
    </row>
    <row r="47" spans="1:9" ht="15" thickTop="1" x14ac:dyDescent="0.3">
      <c r="A47" s="212"/>
      <c r="B47" s="318" t="s">
        <v>276</v>
      </c>
      <c r="C47" s="215"/>
      <c r="D47" s="325" t="str">
        <f>Runsheet!D36</f>
        <v>Dinning Arrangements</v>
      </c>
      <c r="E47" s="326"/>
      <c r="F47" s="326"/>
      <c r="G47" s="326"/>
      <c r="H47" s="326"/>
      <c r="I47" s="327"/>
    </row>
    <row r="48" spans="1:9" ht="15" thickBot="1" x14ac:dyDescent="0.35">
      <c r="A48" s="212"/>
      <c r="B48" s="319"/>
      <c r="C48" s="215"/>
      <c r="D48" s="328" t="str">
        <f>Runsheet!D37</f>
        <v xml:space="preserve">Breakfast </v>
      </c>
      <c r="E48" s="329" t="str">
        <f>Runsheet!E37</f>
        <v xml:space="preserve">na </v>
      </c>
      <c r="F48" s="330"/>
      <c r="G48" s="330"/>
      <c r="H48" s="330"/>
      <c r="I48" s="331"/>
    </row>
    <row r="49" spans="1:9" ht="16.8" thickTop="1" thickBot="1" x14ac:dyDescent="0.35">
      <c r="A49" s="212"/>
      <c r="B49" s="213"/>
      <c r="C49" s="215"/>
      <c r="D49" s="328"/>
      <c r="E49" s="332"/>
      <c r="F49" s="333"/>
      <c r="G49" s="333"/>
      <c r="H49" s="333"/>
      <c r="I49" s="334"/>
    </row>
    <row r="50" spans="1:9" ht="15" thickTop="1" x14ac:dyDescent="0.3">
      <c r="A50" s="212"/>
      <c r="B50" s="318" t="s">
        <v>277</v>
      </c>
      <c r="C50" s="215"/>
      <c r="D50" s="328" t="str">
        <f>Runsheet!D39</f>
        <v xml:space="preserve">Lunch </v>
      </c>
      <c r="E50" s="329" t="str">
        <f>Runsheet!E39</f>
        <v>Mungalli Creek : 1:00pm table of 10</v>
      </c>
      <c r="F50" s="330"/>
      <c r="G50" s="330"/>
      <c r="H50" s="330"/>
      <c r="I50" s="331"/>
    </row>
    <row r="51" spans="1:9" ht="15" thickBot="1" x14ac:dyDescent="0.35">
      <c r="A51" s="212"/>
      <c r="B51" s="319"/>
      <c r="C51" s="215"/>
      <c r="D51" s="328"/>
      <c r="E51" s="332"/>
      <c r="F51" s="333"/>
      <c r="G51" s="333"/>
      <c r="H51" s="333"/>
      <c r="I51" s="334"/>
    </row>
    <row r="52" spans="1:9" ht="16.2" thickTop="1" x14ac:dyDescent="0.3">
      <c r="A52" s="212"/>
      <c r="B52" s="213"/>
      <c r="C52" s="215"/>
      <c r="D52" s="328" t="str">
        <f>Runsheet!D41</f>
        <v xml:space="preserve">Dinner </v>
      </c>
      <c r="E52" s="329" t="str">
        <f>Runsheet!E41</f>
        <v>Mena Creek Hotel/Pub 6:15pm CONFIRMED 2 tables (14 pax)</v>
      </c>
      <c r="F52" s="330"/>
      <c r="G52" s="330"/>
      <c r="H52" s="330"/>
      <c r="I52" s="331"/>
    </row>
    <row r="53" spans="1:9" x14ac:dyDescent="0.3">
      <c r="A53" s="212"/>
      <c r="B53" s="213"/>
      <c r="C53" s="215"/>
      <c r="D53" s="328"/>
      <c r="E53" s="332"/>
      <c r="F53" s="333"/>
      <c r="G53" s="333"/>
      <c r="H53" s="333"/>
      <c r="I53" s="334"/>
    </row>
    <row r="54" spans="1:9" x14ac:dyDescent="0.3">
      <c r="A54" s="212"/>
      <c r="B54" s="231"/>
      <c r="C54" s="215"/>
      <c r="D54" s="325" t="s">
        <v>210</v>
      </c>
      <c r="E54" s="326"/>
      <c r="F54" s="326"/>
      <c r="G54" s="326"/>
      <c r="H54" s="326"/>
      <c r="I54" s="327"/>
    </row>
    <row r="55" spans="1:9" x14ac:dyDescent="0.3">
      <c r="A55" s="212"/>
      <c r="B55" s="231"/>
      <c r="C55" s="215"/>
      <c r="D55" s="322" t="str">
        <f>Runsheet!D44</f>
        <v>Paronella Park Admission 14pax + guides FOC (CONFIRMED) + 8.00pm night tour confirmed</v>
      </c>
      <c r="E55" s="323"/>
      <c r="F55" s="323"/>
      <c r="G55" s="323"/>
      <c r="H55" s="323"/>
      <c r="I55" s="324"/>
    </row>
    <row r="56" spans="1:9" x14ac:dyDescent="0.3">
      <c r="A56" s="212"/>
      <c r="B56" s="213"/>
      <c r="C56" s="215"/>
      <c r="D56" s="322"/>
      <c r="E56" s="323"/>
      <c r="F56" s="323"/>
      <c r="G56" s="323"/>
      <c r="H56" s="323"/>
      <c r="I56" s="324"/>
    </row>
    <row r="57" spans="1:9" x14ac:dyDescent="0.3">
      <c r="A57" s="212"/>
      <c r="B57" s="213"/>
      <c r="C57" s="215"/>
      <c r="D57" s="322">
        <f>Runsheet!D45</f>
        <v>0</v>
      </c>
      <c r="E57" s="323"/>
      <c r="F57" s="323"/>
      <c r="G57" s="323"/>
      <c r="H57" s="323"/>
      <c r="I57" s="324"/>
    </row>
    <row r="58" spans="1:9" x14ac:dyDescent="0.3">
      <c r="A58" s="212"/>
      <c r="B58" s="213"/>
      <c r="C58" s="215"/>
      <c r="D58" s="325" t="s">
        <v>340</v>
      </c>
      <c r="E58" s="326"/>
      <c r="F58" s="326"/>
      <c r="G58" s="326"/>
      <c r="H58" s="326"/>
      <c r="I58" s="327"/>
    </row>
    <row r="59" spans="1:9" x14ac:dyDescent="0.3">
      <c r="A59" s="212"/>
      <c r="B59" s="213"/>
      <c r="C59" s="215"/>
      <c r="D59" s="232"/>
      <c r="E59" s="138" t="str" cm="1">
        <f t="array" ref="E59:G59">day_1_itinerary_highlights[]</f>
        <v>Babinda Boulders</v>
      </c>
      <c r="F59" s="138" t="str">
        <v>Paronella Park</v>
      </c>
      <c r="G59" s="138" t="str">
        <v>Milla Milla Waterfall Circuit</v>
      </c>
      <c r="H59" s="138"/>
      <c r="I59" s="233"/>
    </row>
    <row r="60" spans="1:9" x14ac:dyDescent="0.3">
      <c r="A60" s="212"/>
      <c r="B60" s="213"/>
      <c r="C60" s="215"/>
      <c r="D60" s="237"/>
      <c r="E60" s="238"/>
      <c r="F60" s="238"/>
      <c r="G60" s="238"/>
      <c r="H60" s="238"/>
      <c r="I60" s="239"/>
    </row>
    <row r="61" spans="1:9" ht="16.2" thickBot="1" x14ac:dyDescent="0.35">
      <c r="A61" s="212"/>
      <c r="B61" s="213"/>
      <c r="C61" s="215"/>
      <c r="D61" s="325" t="s">
        <v>209</v>
      </c>
      <c r="E61" s="326"/>
      <c r="F61" s="326"/>
      <c r="G61" s="326"/>
      <c r="H61" s="326"/>
      <c r="I61" s="327"/>
    </row>
    <row r="62" spans="1:9" x14ac:dyDescent="0.3">
      <c r="A62" s="212"/>
      <c r="B62" s="213"/>
      <c r="C62" s="215"/>
      <c r="D62" s="338" t="s">
        <v>97</v>
      </c>
      <c r="E62" s="226" t="s">
        <v>11</v>
      </c>
      <c r="F62" s="61" t="str">
        <f>'Food Serves'!K24</f>
        <v>N/A</v>
      </c>
      <c r="G62" s="61">
        <f>'Food Serves'!L24</f>
        <v>0</v>
      </c>
      <c r="H62" s="17"/>
      <c r="I62" s="18"/>
    </row>
    <row r="63" spans="1:9" x14ac:dyDescent="0.3">
      <c r="A63" s="212"/>
      <c r="B63" s="213"/>
      <c r="C63" s="215"/>
      <c r="D63" s="339"/>
      <c r="E63" s="30" t="s">
        <v>9</v>
      </c>
      <c r="F63" s="61" t="str">
        <f>'Food Serves'!K25</f>
        <v>N/A</v>
      </c>
      <c r="G63" s="61">
        <f>'Food Serves'!L25</f>
        <v>0</v>
      </c>
      <c r="H63" s="4"/>
      <c r="I63" s="21"/>
    </row>
    <row r="64" spans="1:9" x14ac:dyDescent="0.3">
      <c r="A64" s="212"/>
      <c r="B64" s="213"/>
      <c r="C64" s="215"/>
      <c r="D64" s="340"/>
      <c r="E64" s="34" t="s">
        <v>1</v>
      </c>
      <c r="F64" s="61" t="str">
        <f>'Food Serves'!K26</f>
        <v>N/A</v>
      </c>
      <c r="G64" s="61">
        <f>'Food Serves'!L26</f>
        <v>0</v>
      </c>
      <c r="H64" s="4"/>
      <c r="I64" s="21"/>
    </row>
    <row r="65" spans="1:9" x14ac:dyDescent="0.3">
      <c r="A65" s="212"/>
      <c r="B65" s="213"/>
      <c r="C65" s="215"/>
      <c r="D65" s="19"/>
      <c r="E65" s="4"/>
      <c r="F65" s="4"/>
      <c r="G65" s="4"/>
      <c r="H65" s="4"/>
      <c r="I65" s="21"/>
    </row>
    <row r="66" spans="1:9" x14ac:dyDescent="0.3">
      <c r="A66" s="212"/>
      <c r="B66" s="213"/>
      <c r="C66" s="215"/>
      <c r="D66" s="19"/>
      <c r="E66" s="4"/>
      <c r="F66" s="221" t="s">
        <v>76</v>
      </c>
      <c r="G66" s="38" t="s">
        <v>77</v>
      </c>
      <c r="H66" s="4"/>
      <c r="I66" s="21"/>
    </row>
    <row r="67" spans="1:9" x14ac:dyDescent="0.3">
      <c r="A67" s="212"/>
      <c r="B67" s="213"/>
      <c r="C67" s="215"/>
      <c r="D67" s="341" t="s">
        <v>120</v>
      </c>
      <c r="E67" s="33" t="s">
        <v>11</v>
      </c>
      <c r="F67" s="39" t="str">
        <f>'Food Serves'!K38</f>
        <v>N/A</v>
      </c>
      <c r="G67" s="39">
        <f>'Food Serves'!L38</f>
        <v>0</v>
      </c>
      <c r="H67" s="4"/>
      <c r="I67" s="21"/>
    </row>
    <row r="68" spans="1:9" x14ac:dyDescent="0.3">
      <c r="A68" s="212"/>
      <c r="B68" s="213"/>
      <c r="C68" s="215"/>
      <c r="D68" s="342"/>
      <c r="E68" s="30" t="s">
        <v>9</v>
      </c>
      <c r="F68" s="39" t="str">
        <f>'Food Serves'!K39</f>
        <v>N/A</v>
      </c>
      <c r="G68" s="39">
        <f>'Food Serves'!L39</f>
        <v>0</v>
      </c>
      <c r="H68" s="4"/>
      <c r="I68" s="21"/>
    </row>
    <row r="69" spans="1:9" x14ac:dyDescent="0.3">
      <c r="A69" s="212"/>
      <c r="B69" s="213"/>
      <c r="C69" s="215"/>
      <c r="D69" s="343"/>
      <c r="E69" s="34" t="s">
        <v>1</v>
      </c>
      <c r="F69" s="39" t="str">
        <f>'Food Serves'!K40</f>
        <v>N/A</v>
      </c>
      <c r="G69" s="39">
        <f>'Food Serves'!L40</f>
        <v>0</v>
      </c>
      <c r="H69" s="4"/>
      <c r="I69" s="21"/>
    </row>
    <row r="70" spans="1:9" x14ac:dyDescent="0.3">
      <c r="A70" s="212"/>
      <c r="B70" s="213"/>
      <c r="C70" s="215"/>
      <c r="D70" s="19"/>
      <c r="E70" s="4"/>
      <c r="F70" s="4"/>
      <c r="G70" s="4"/>
      <c r="H70" s="4"/>
      <c r="I70" s="21"/>
    </row>
    <row r="71" spans="1:9" x14ac:dyDescent="0.3">
      <c r="A71" s="212"/>
      <c r="B71" s="213"/>
      <c r="C71" s="215"/>
      <c r="D71" s="19"/>
      <c r="E71" s="4"/>
      <c r="F71" s="221" t="s">
        <v>76</v>
      </c>
      <c r="G71" s="38" t="s">
        <v>77</v>
      </c>
      <c r="H71" s="4"/>
      <c r="I71" s="21"/>
    </row>
    <row r="72" spans="1:9" x14ac:dyDescent="0.3">
      <c r="A72" s="212"/>
      <c r="B72" s="213"/>
      <c r="C72" s="215"/>
      <c r="D72" s="344" t="s">
        <v>123</v>
      </c>
      <c r="E72" s="33" t="s">
        <v>11</v>
      </c>
      <c r="F72" s="39" t="str">
        <f>'Food Serves'!K52</f>
        <v>N/A</v>
      </c>
      <c r="G72" s="39">
        <f>'Food Serves'!L52</f>
        <v>0</v>
      </c>
      <c r="H72" s="4"/>
      <c r="I72" s="21"/>
    </row>
    <row r="73" spans="1:9" x14ac:dyDescent="0.3">
      <c r="C73" s="218"/>
      <c r="D73" s="345"/>
      <c r="E73" s="30" t="s">
        <v>9</v>
      </c>
      <c r="F73" s="39" t="str">
        <f>'Food Serves'!K53</f>
        <v>N/A</v>
      </c>
      <c r="G73" s="39">
        <f>'Food Serves'!L53</f>
        <v>0</v>
      </c>
      <c r="H73" s="4"/>
      <c r="I73" s="21"/>
    </row>
    <row r="74" spans="1:9" x14ac:dyDescent="0.3">
      <c r="C74" s="218"/>
      <c r="D74" s="346"/>
      <c r="E74" s="34" t="s">
        <v>1</v>
      </c>
      <c r="F74" s="39" t="str">
        <f>'Food Serves'!K54</f>
        <v>N/A</v>
      </c>
      <c r="G74" s="39">
        <f>'Food Serves'!L54</f>
        <v>0</v>
      </c>
      <c r="H74" s="4"/>
      <c r="I74" s="21"/>
    </row>
    <row r="75" spans="1:9" x14ac:dyDescent="0.3">
      <c r="C75" s="218"/>
      <c r="D75" s="19"/>
      <c r="E75" s="4"/>
      <c r="F75" s="4"/>
      <c r="G75" s="4"/>
      <c r="H75" s="4"/>
      <c r="I75" s="21"/>
    </row>
    <row r="76" spans="1:9" x14ac:dyDescent="0.3">
      <c r="C76" s="218"/>
      <c r="D76" s="19"/>
      <c r="E76" s="4"/>
      <c r="F76" s="221" t="s">
        <v>76</v>
      </c>
      <c r="G76" s="38" t="s">
        <v>77</v>
      </c>
      <c r="H76" s="4"/>
      <c r="I76" s="21"/>
    </row>
    <row r="77" spans="1:9" x14ac:dyDescent="0.3">
      <c r="C77" s="218"/>
      <c r="D77" s="349" t="s">
        <v>126</v>
      </c>
      <c r="E77" s="33" t="s">
        <v>11</v>
      </c>
      <c r="F77" s="39" t="str">
        <f>'Food Serves'!K66</f>
        <v>N/A</v>
      </c>
      <c r="G77" s="39">
        <f>'Food Serves'!L66</f>
        <v>0</v>
      </c>
      <c r="H77" s="4"/>
      <c r="I77" s="21"/>
    </row>
    <row r="78" spans="1:9" x14ac:dyDescent="0.3">
      <c r="C78" s="218"/>
      <c r="D78" s="350"/>
      <c r="E78" s="30" t="s">
        <v>9</v>
      </c>
      <c r="F78" s="39" t="str">
        <f>'Food Serves'!K67</f>
        <v>N/A</v>
      </c>
      <c r="G78" s="39">
        <f>'Food Serves'!L67</f>
        <v>0</v>
      </c>
      <c r="H78" s="4"/>
      <c r="I78" s="21"/>
    </row>
    <row r="79" spans="1:9" x14ac:dyDescent="0.3">
      <c r="C79" s="218"/>
      <c r="D79" s="350"/>
      <c r="E79" s="30" t="s">
        <v>1</v>
      </c>
      <c r="F79" s="39" t="str">
        <f>'Food Serves'!K68</f>
        <v>N/A</v>
      </c>
      <c r="G79" s="39">
        <f>'Food Serves'!L68</f>
        <v>0</v>
      </c>
      <c r="H79" s="4"/>
      <c r="I79" s="21"/>
    </row>
    <row r="80" spans="1:9" x14ac:dyDescent="0.3">
      <c r="C80" s="218"/>
      <c r="D80" s="227"/>
      <c r="E80" s="30"/>
      <c r="F80" s="224"/>
      <c r="G80" s="224"/>
      <c r="H80" s="225"/>
      <c r="I80" s="36"/>
    </row>
    <row r="81" spans="3:9" x14ac:dyDescent="0.3">
      <c r="C81" s="218"/>
      <c r="D81" s="35"/>
      <c r="E81" s="225"/>
      <c r="F81" s="223" t="s">
        <v>76</v>
      </c>
      <c r="G81" s="223" t="s">
        <v>77</v>
      </c>
      <c r="H81" s="225"/>
      <c r="I81" s="36"/>
    </row>
    <row r="82" spans="3:9" x14ac:dyDescent="0.3">
      <c r="C82" s="218"/>
      <c r="D82" s="347" t="s">
        <v>128</v>
      </c>
      <c r="E82" s="30" t="s">
        <v>11</v>
      </c>
      <c r="F82" s="222" t="str">
        <f>'Food Serves'!K80</f>
        <v>N/A</v>
      </c>
      <c r="G82" s="222">
        <f>'Food Serves'!L80</f>
        <v>0</v>
      </c>
      <c r="H82" s="4"/>
      <c r="I82" s="21"/>
    </row>
    <row r="83" spans="3:9" x14ac:dyDescent="0.3">
      <c r="C83" s="218"/>
      <c r="D83" s="347"/>
      <c r="E83" s="30" t="s">
        <v>9</v>
      </c>
      <c r="F83" s="222" t="str">
        <f>'Food Serves'!K81</f>
        <v>N/A</v>
      </c>
      <c r="G83" s="222">
        <f>'Food Serves'!L81</f>
        <v>0</v>
      </c>
      <c r="H83" s="4"/>
      <c r="I83" s="21"/>
    </row>
    <row r="84" spans="3:9" x14ac:dyDescent="0.3">
      <c r="C84" s="218"/>
      <c r="D84" s="348"/>
      <c r="E84" s="34" t="s">
        <v>1</v>
      </c>
      <c r="F84" s="222" t="str">
        <f>'Food Serves'!K82</f>
        <v>N/A</v>
      </c>
      <c r="G84" s="222">
        <f>'Food Serves'!L82</f>
        <v>0</v>
      </c>
      <c r="H84" s="4"/>
      <c r="I84" s="21"/>
    </row>
    <row r="85" spans="3:9" x14ac:dyDescent="0.3">
      <c r="C85" s="218"/>
      <c r="D85" s="132"/>
      <c r="E85" s="30"/>
      <c r="F85" s="44"/>
      <c r="G85" s="44"/>
      <c r="H85" s="4"/>
      <c r="I85" s="21"/>
    </row>
    <row r="86" spans="3:9" x14ac:dyDescent="0.3">
      <c r="C86" s="218"/>
      <c r="D86" s="19"/>
      <c r="E86" s="4"/>
      <c r="F86" s="221" t="s">
        <v>76</v>
      </c>
      <c r="G86" s="38" t="s">
        <v>77</v>
      </c>
      <c r="H86" s="4"/>
      <c r="I86" s="21"/>
    </row>
    <row r="87" spans="3:9" x14ac:dyDescent="0.3">
      <c r="C87" s="218"/>
      <c r="D87" s="335" t="s">
        <v>135</v>
      </c>
      <c r="E87" s="33" t="s">
        <v>11</v>
      </c>
      <c r="F87" s="39" t="str">
        <f>'Food Serves'!K93</f>
        <v>N/A</v>
      </c>
      <c r="G87" s="39">
        <f>'Food Serves'!L93</f>
        <v>0</v>
      </c>
      <c r="H87" s="4"/>
      <c r="I87" s="21"/>
    </row>
    <row r="88" spans="3:9" x14ac:dyDescent="0.3">
      <c r="C88" s="218"/>
      <c r="D88" s="336"/>
      <c r="E88" s="30" t="s">
        <v>9</v>
      </c>
      <c r="F88" s="39" t="str">
        <f>'Food Serves'!K94</f>
        <v>N/A</v>
      </c>
      <c r="G88" s="39">
        <f>'Food Serves'!L94</f>
        <v>0</v>
      </c>
      <c r="H88" s="4"/>
      <c r="I88" s="21"/>
    </row>
    <row r="89" spans="3:9" x14ac:dyDescent="0.3">
      <c r="C89" s="218"/>
      <c r="D89" s="337"/>
      <c r="E89" s="34" t="s">
        <v>1</v>
      </c>
      <c r="F89" s="39" t="str">
        <f>'Food Serves'!K95</f>
        <v>N/A</v>
      </c>
      <c r="G89" s="39">
        <f>'Food Serves'!L95</f>
        <v>0</v>
      </c>
      <c r="H89" s="4"/>
      <c r="I89" s="21"/>
    </row>
    <row r="90" spans="3:9" ht="19.8" customHeight="1" thickBot="1" x14ac:dyDescent="0.35">
      <c r="C90" s="218"/>
      <c r="D90" s="133"/>
      <c r="E90" s="22"/>
      <c r="F90" s="22"/>
      <c r="G90" s="22"/>
      <c r="H90" s="22"/>
      <c r="I90" s="23"/>
    </row>
    <row r="91" spans="3:9" x14ac:dyDescent="0.3">
      <c r="C91" s="218"/>
    </row>
    <row r="92" spans="3:9" x14ac:dyDescent="0.3">
      <c r="C92" s="218"/>
    </row>
    <row r="93" spans="3:9" x14ac:dyDescent="0.3">
      <c r="C93" s="218"/>
    </row>
    <row r="94" spans="3:9" x14ac:dyDescent="0.3">
      <c r="C94" s="218"/>
    </row>
    <row r="95" spans="3:9" x14ac:dyDescent="0.3">
      <c r="C95" s="218"/>
    </row>
    <row r="96" spans="3:9" x14ac:dyDescent="0.3">
      <c r="C96" s="218"/>
    </row>
    <row r="97" spans="3:3" x14ac:dyDescent="0.3">
      <c r="C97" s="218"/>
    </row>
    <row r="98" spans="3:3" x14ac:dyDescent="0.3">
      <c r="C98" s="218"/>
    </row>
    <row r="99" spans="3:3" x14ac:dyDescent="0.3">
      <c r="C99" s="218"/>
    </row>
    <row r="100" spans="3:3" x14ac:dyDescent="0.3">
      <c r="C100" s="218"/>
    </row>
    <row r="101" spans="3:3" x14ac:dyDescent="0.3">
      <c r="C101" s="218"/>
    </row>
    <row r="102" spans="3:3" x14ac:dyDescent="0.3">
      <c r="C102" s="218"/>
    </row>
    <row r="103" spans="3:3" x14ac:dyDescent="0.3">
      <c r="C103" s="218"/>
    </row>
    <row r="104" spans="3:3" x14ac:dyDescent="0.3">
      <c r="C104" s="218"/>
    </row>
    <row r="105" spans="3:3" x14ac:dyDescent="0.3">
      <c r="C105" s="218"/>
    </row>
    <row r="106" spans="3:3" x14ac:dyDescent="0.3">
      <c r="C106" s="218"/>
    </row>
    <row r="107" spans="3:3" x14ac:dyDescent="0.3">
      <c r="C107" s="218"/>
    </row>
    <row r="108" spans="3:3" x14ac:dyDescent="0.3">
      <c r="C108" s="218"/>
    </row>
    <row r="109" spans="3:3" x14ac:dyDescent="0.3">
      <c r="C109" s="218"/>
    </row>
    <row r="110" spans="3:3" x14ac:dyDescent="0.3">
      <c r="C110" s="218"/>
    </row>
    <row r="111" spans="3:3" x14ac:dyDescent="0.3">
      <c r="C111" s="218"/>
    </row>
    <row r="112" spans="3:3" x14ac:dyDescent="0.3">
      <c r="C112" s="218"/>
    </row>
    <row r="113" spans="3:3" x14ac:dyDescent="0.3">
      <c r="C113" s="218"/>
    </row>
    <row r="114" spans="3:3" x14ac:dyDescent="0.3">
      <c r="C114" s="218"/>
    </row>
    <row r="115" spans="3:3" x14ac:dyDescent="0.3">
      <c r="C115" s="218"/>
    </row>
    <row r="116" spans="3:3" x14ac:dyDescent="0.3">
      <c r="C116" s="218"/>
    </row>
    <row r="117" spans="3:3" x14ac:dyDescent="0.3">
      <c r="C117" s="218"/>
    </row>
    <row r="118" spans="3:3" x14ac:dyDescent="0.3">
      <c r="C118" s="218"/>
    </row>
    <row r="119" spans="3:3" x14ac:dyDescent="0.3">
      <c r="C119" s="218"/>
    </row>
    <row r="120" spans="3:3" x14ac:dyDescent="0.3">
      <c r="C120" s="218"/>
    </row>
    <row r="121" spans="3:3" x14ac:dyDescent="0.3">
      <c r="C121" s="218"/>
    </row>
    <row r="122" spans="3:3" x14ac:dyDescent="0.3">
      <c r="C122" s="218"/>
    </row>
    <row r="123" spans="3:3" x14ac:dyDescent="0.3">
      <c r="C123" s="218"/>
    </row>
    <row r="124" spans="3:3" x14ac:dyDescent="0.3">
      <c r="C124" s="218"/>
    </row>
    <row r="125" spans="3:3" x14ac:dyDescent="0.3">
      <c r="C125" s="218"/>
    </row>
    <row r="126" spans="3:3" x14ac:dyDescent="0.3">
      <c r="C126" s="218"/>
    </row>
    <row r="127" spans="3:3" x14ac:dyDescent="0.3">
      <c r="C127" s="218"/>
    </row>
    <row r="128" spans="3:3" x14ac:dyDescent="0.3">
      <c r="C128" s="218"/>
    </row>
    <row r="129" spans="3:3" x14ac:dyDescent="0.3">
      <c r="C129" s="218"/>
    </row>
    <row r="130" spans="3:3" x14ac:dyDescent="0.3">
      <c r="C130" s="218"/>
    </row>
    <row r="131" spans="3:3" x14ac:dyDescent="0.3">
      <c r="C131" s="218"/>
    </row>
    <row r="132" spans="3:3" x14ac:dyDescent="0.3">
      <c r="C132" s="218"/>
    </row>
    <row r="133" spans="3:3" x14ac:dyDescent="0.3">
      <c r="C133" s="218"/>
    </row>
    <row r="134" spans="3:3" x14ac:dyDescent="0.3">
      <c r="C134" s="218"/>
    </row>
    <row r="135" spans="3:3" x14ac:dyDescent="0.3">
      <c r="C135" s="218"/>
    </row>
    <row r="136" spans="3:3" x14ac:dyDescent="0.3">
      <c r="C136" s="218"/>
    </row>
    <row r="137" spans="3:3" x14ac:dyDescent="0.3">
      <c r="C137" s="218"/>
    </row>
    <row r="138" spans="3:3" x14ac:dyDescent="0.3">
      <c r="C138" s="218"/>
    </row>
    <row r="139" spans="3:3" x14ac:dyDescent="0.3">
      <c r="C139" s="218"/>
    </row>
    <row r="140" spans="3:3" x14ac:dyDescent="0.3">
      <c r="C140" s="218"/>
    </row>
    <row r="141" spans="3:3" x14ac:dyDescent="0.3">
      <c r="C141" s="218"/>
    </row>
    <row r="142" spans="3:3" x14ac:dyDescent="0.3">
      <c r="C142" s="218"/>
    </row>
    <row r="143" spans="3:3" x14ac:dyDescent="0.3">
      <c r="C143" s="218"/>
    </row>
    <row r="144" spans="3:3" x14ac:dyDescent="0.3">
      <c r="C144" s="218"/>
    </row>
    <row r="145" spans="3:3" x14ac:dyDescent="0.3">
      <c r="C145" s="218"/>
    </row>
    <row r="146" spans="3:3" x14ac:dyDescent="0.3">
      <c r="C146" s="218"/>
    </row>
    <row r="147" spans="3:3" x14ac:dyDescent="0.3">
      <c r="C147" s="218"/>
    </row>
    <row r="148" spans="3:3" x14ac:dyDescent="0.3">
      <c r="C148" s="218"/>
    </row>
    <row r="149" spans="3:3" x14ac:dyDescent="0.3">
      <c r="C149" s="218"/>
    </row>
    <row r="150" spans="3:3" x14ac:dyDescent="0.3">
      <c r="C150" s="218"/>
    </row>
    <row r="151" spans="3:3" x14ac:dyDescent="0.3">
      <c r="C151" s="218"/>
    </row>
    <row r="152" spans="3:3" x14ac:dyDescent="0.3">
      <c r="C152" s="218"/>
    </row>
    <row r="153" spans="3:3" x14ac:dyDescent="0.3">
      <c r="C153" s="218"/>
    </row>
    <row r="154" spans="3:3" x14ac:dyDescent="0.3">
      <c r="C154" s="218"/>
    </row>
    <row r="155" spans="3:3" x14ac:dyDescent="0.3">
      <c r="C155" s="218"/>
    </row>
    <row r="156" spans="3:3" x14ac:dyDescent="0.3">
      <c r="C156" s="218"/>
    </row>
    <row r="157" spans="3:3" x14ac:dyDescent="0.3">
      <c r="C157" s="218"/>
    </row>
    <row r="158" spans="3:3" x14ac:dyDescent="0.3">
      <c r="C158" s="218"/>
    </row>
    <row r="159" spans="3:3" x14ac:dyDescent="0.3">
      <c r="C159" s="218"/>
    </row>
    <row r="160" spans="3:3" x14ac:dyDescent="0.3">
      <c r="C160" s="218"/>
    </row>
    <row r="161" spans="3:3" x14ac:dyDescent="0.3">
      <c r="C161" s="218"/>
    </row>
    <row r="162" spans="3:3" x14ac:dyDescent="0.3">
      <c r="C162" s="218"/>
    </row>
    <row r="163" spans="3:3" x14ac:dyDescent="0.3">
      <c r="C163" s="218"/>
    </row>
    <row r="164" spans="3:3" x14ac:dyDescent="0.3">
      <c r="C164" s="218"/>
    </row>
    <row r="165" spans="3:3" x14ac:dyDescent="0.3">
      <c r="C165" s="218"/>
    </row>
    <row r="166" spans="3:3" x14ac:dyDescent="0.3">
      <c r="C166" s="218"/>
    </row>
    <row r="167" spans="3:3" x14ac:dyDescent="0.3">
      <c r="C167" s="218"/>
    </row>
    <row r="168" spans="3:3" x14ac:dyDescent="0.3">
      <c r="C168" s="218"/>
    </row>
    <row r="169" spans="3:3" x14ac:dyDescent="0.3">
      <c r="C169" s="218"/>
    </row>
    <row r="170" spans="3:3" x14ac:dyDescent="0.3">
      <c r="C170" s="218"/>
    </row>
    <row r="171" spans="3:3" x14ac:dyDescent="0.3">
      <c r="C171" s="218"/>
    </row>
    <row r="172" spans="3:3" x14ac:dyDescent="0.3">
      <c r="C172" s="218"/>
    </row>
    <row r="173" spans="3:3" x14ac:dyDescent="0.3">
      <c r="C173" s="218"/>
    </row>
    <row r="174" spans="3:3" x14ac:dyDescent="0.3">
      <c r="C174" s="218"/>
    </row>
    <row r="175" spans="3:3" x14ac:dyDescent="0.3">
      <c r="C175" s="218"/>
    </row>
    <row r="176" spans="3:3" x14ac:dyDescent="0.3">
      <c r="C176" s="218"/>
    </row>
    <row r="177" spans="3:3" x14ac:dyDescent="0.3">
      <c r="C177" s="218"/>
    </row>
    <row r="178" spans="3:3" x14ac:dyDescent="0.3">
      <c r="C178" s="218"/>
    </row>
    <row r="179" spans="3:3" x14ac:dyDescent="0.3">
      <c r="C179" s="218"/>
    </row>
    <row r="180" spans="3:3" x14ac:dyDescent="0.3">
      <c r="C180" s="218"/>
    </row>
    <row r="181" spans="3:3" x14ac:dyDescent="0.3">
      <c r="C181" s="218"/>
    </row>
    <row r="182" spans="3:3" x14ac:dyDescent="0.3">
      <c r="C182" s="218"/>
    </row>
    <row r="183" spans="3:3" x14ac:dyDescent="0.3">
      <c r="C183" s="218"/>
    </row>
    <row r="184" spans="3:3" x14ac:dyDescent="0.3">
      <c r="C184" s="218"/>
    </row>
    <row r="185" spans="3:3" x14ac:dyDescent="0.3">
      <c r="C185" s="218"/>
    </row>
    <row r="186" spans="3:3" x14ac:dyDescent="0.3">
      <c r="C186" s="218"/>
    </row>
    <row r="187" spans="3:3" x14ac:dyDescent="0.3">
      <c r="C187" s="218"/>
    </row>
    <row r="188" spans="3:3" x14ac:dyDescent="0.3">
      <c r="C188" s="218"/>
    </row>
    <row r="189" spans="3:3" x14ac:dyDescent="0.3">
      <c r="C189" s="218"/>
    </row>
    <row r="190" spans="3:3" x14ac:dyDescent="0.3">
      <c r="C190" s="218"/>
    </row>
    <row r="191" spans="3:3" x14ac:dyDescent="0.3">
      <c r="C191" s="218"/>
    </row>
    <row r="192" spans="3:3" x14ac:dyDescent="0.3">
      <c r="C192" s="218"/>
    </row>
    <row r="193" spans="3:3" x14ac:dyDescent="0.3">
      <c r="C193" s="218"/>
    </row>
    <row r="194" spans="3:3" x14ac:dyDescent="0.3">
      <c r="C194" s="218"/>
    </row>
    <row r="195" spans="3:3" x14ac:dyDescent="0.3">
      <c r="C195" s="218"/>
    </row>
    <row r="196" spans="3:3" x14ac:dyDescent="0.3">
      <c r="C196" s="218"/>
    </row>
    <row r="197" spans="3:3" x14ac:dyDescent="0.3">
      <c r="C197" s="218"/>
    </row>
    <row r="198" spans="3:3" x14ac:dyDescent="0.3">
      <c r="C198" s="218"/>
    </row>
    <row r="199" spans="3:3" x14ac:dyDescent="0.3">
      <c r="C199" s="218"/>
    </row>
    <row r="200" spans="3:3" x14ac:dyDescent="0.3">
      <c r="C200" s="218"/>
    </row>
    <row r="201" spans="3:3" x14ac:dyDescent="0.3">
      <c r="C201" s="218"/>
    </row>
    <row r="202" spans="3:3" x14ac:dyDescent="0.3">
      <c r="C202" s="218"/>
    </row>
    <row r="203" spans="3:3" x14ac:dyDescent="0.3">
      <c r="C203" s="218"/>
    </row>
    <row r="204" spans="3:3" x14ac:dyDescent="0.3">
      <c r="C204" s="218"/>
    </row>
    <row r="205" spans="3:3" x14ac:dyDescent="0.3">
      <c r="C205" s="218"/>
    </row>
    <row r="206" spans="3:3" x14ac:dyDescent="0.3">
      <c r="C206" s="218"/>
    </row>
    <row r="207" spans="3:3" x14ac:dyDescent="0.3">
      <c r="C207" s="218"/>
    </row>
    <row r="208" spans="3:3" x14ac:dyDescent="0.3">
      <c r="C208" s="218"/>
    </row>
    <row r="209" spans="3:3" x14ac:dyDescent="0.3">
      <c r="C209" s="218"/>
    </row>
    <row r="210" spans="3:3" x14ac:dyDescent="0.3">
      <c r="C210" s="218"/>
    </row>
    <row r="211" spans="3:3" x14ac:dyDescent="0.3">
      <c r="C211" s="218"/>
    </row>
    <row r="212" spans="3:3" x14ac:dyDescent="0.3">
      <c r="C212" s="218"/>
    </row>
    <row r="213" spans="3:3" x14ac:dyDescent="0.3">
      <c r="C213" s="218"/>
    </row>
    <row r="214" spans="3:3" x14ac:dyDescent="0.3">
      <c r="C214" s="218"/>
    </row>
    <row r="215" spans="3:3" x14ac:dyDescent="0.3">
      <c r="C215" s="218"/>
    </row>
    <row r="216" spans="3:3" x14ac:dyDescent="0.3">
      <c r="C216" s="218"/>
    </row>
    <row r="217" spans="3:3" x14ac:dyDescent="0.3">
      <c r="C217" s="218"/>
    </row>
    <row r="218" spans="3:3" x14ac:dyDescent="0.3">
      <c r="C218" s="218"/>
    </row>
    <row r="219" spans="3:3" x14ac:dyDescent="0.3">
      <c r="C219" s="218"/>
    </row>
    <row r="220" spans="3:3" x14ac:dyDescent="0.3">
      <c r="C220" s="218"/>
    </row>
    <row r="221" spans="3:3" x14ac:dyDescent="0.3">
      <c r="C221" s="218"/>
    </row>
    <row r="222" spans="3:3" x14ac:dyDescent="0.3">
      <c r="C222" s="218"/>
    </row>
    <row r="223" spans="3:3" x14ac:dyDescent="0.3">
      <c r="C223" s="218"/>
    </row>
    <row r="224" spans="3:3" x14ac:dyDescent="0.3">
      <c r="C224" s="218"/>
    </row>
    <row r="225" spans="3:3" x14ac:dyDescent="0.3">
      <c r="C225" s="218"/>
    </row>
    <row r="226" spans="3:3" x14ac:dyDescent="0.3">
      <c r="C226" s="218"/>
    </row>
    <row r="227" spans="3:3" x14ac:dyDescent="0.3">
      <c r="C227" s="218"/>
    </row>
    <row r="228" spans="3:3" x14ac:dyDescent="0.3">
      <c r="C228" s="218"/>
    </row>
    <row r="229" spans="3:3" x14ac:dyDescent="0.3">
      <c r="C229" s="218"/>
    </row>
    <row r="230" spans="3:3" x14ac:dyDescent="0.3">
      <c r="C230" s="218"/>
    </row>
    <row r="231" spans="3:3" x14ac:dyDescent="0.3">
      <c r="C231" s="218"/>
    </row>
    <row r="232" spans="3:3" x14ac:dyDescent="0.3">
      <c r="C232" s="218"/>
    </row>
    <row r="233" spans="3:3" x14ac:dyDescent="0.3">
      <c r="C233" s="218"/>
    </row>
    <row r="234" spans="3:3" x14ac:dyDescent="0.3">
      <c r="C234" s="218"/>
    </row>
    <row r="235" spans="3:3" x14ac:dyDescent="0.3">
      <c r="C235" s="218"/>
    </row>
    <row r="236" spans="3:3" x14ac:dyDescent="0.3">
      <c r="C236" s="218"/>
    </row>
    <row r="237" spans="3:3" x14ac:dyDescent="0.3">
      <c r="C237" s="218"/>
    </row>
    <row r="238" spans="3:3" x14ac:dyDescent="0.3">
      <c r="C238" s="218"/>
    </row>
    <row r="239" spans="3:3" x14ac:dyDescent="0.3">
      <c r="C239" s="218"/>
    </row>
    <row r="240" spans="3:3" x14ac:dyDescent="0.3">
      <c r="C240" s="218"/>
    </row>
    <row r="241" spans="3:3" x14ac:dyDescent="0.3">
      <c r="C241" s="218"/>
    </row>
    <row r="242" spans="3:3" x14ac:dyDescent="0.3">
      <c r="C242" s="218"/>
    </row>
    <row r="243" spans="3:3" x14ac:dyDescent="0.3">
      <c r="C243" s="218"/>
    </row>
    <row r="244" spans="3:3" x14ac:dyDescent="0.3">
      <c r="C244" s="218"/>
    </row>
    <row r="245" spans="3:3" x14ac:dyDescent="0.3">
      <c r="C245" s="218"/>
    </row>
    <row r="246" spans="3:3" x14ac:dyDescent="0.3">
      <c r="C246" s="218"/>
    </row>
    <row r="247" spans="3:3" x14ac:dyDescent="0.3">
      <c r="C247" s="218"/>
    </row>
    <row r="248" spans="3:3" x14ac:dyDescent="0.3">
      <c r="C248" s="218"/>
    </row>
    <row r="249" spans="3:3" x14ac:dyDescent="0.3">
      <c r="C249" s="218"/>
    </row>
    <row r="250" spans="3:3" x14ac:dyDescent="0.3">
      <c r="C250" s="218"/>
    </row>
    <row r="251" spans="3:3" x14ac:dyDescent="0.3">
      <c r="C251" s="218"/>
    </row>
    <row r="252" spans="3:3" x14ac:dyDescent="0.3">
      <c r="C252" s="218"/>
    </row>
    <row r="253" spans="3:3" x14ac:dyDescent="0.3">
      <c r="C253" s="218"/>
    </row>
    <row r="254" spans="3:3" x14ac:dyDescent="0.3">
      <c r="C254" s="218"/>
    </row>
    <row r="255" spans="3:3" x14ac:dyDescent="0.3">
      <c r="C255" s="218"/>
    </row>
    <row r="256" spans="3:3" x14ac:dyDescent="0.3">
      <c r="C256" s="218"/>
    </row>
    <row r="257" spans="3:3" x14ac:dyDescent="0.3">
      <c r="C257" s="218"/>
    </row>
    <row r="258" spans="3:3" x14ac:dyDescent="0.3">
      <c r="C258" s="218"/>
    </row>
    <row r="259" spans="3:3" x14ac:dyDescent="0.3">
      <c r="C259" s="218"/>
    </row>
  </sheetData>
  <mergeCells count="48">
    <mergeCell ref="E1:G1"/>
    <mergeCell ref="E2:G2"/>
    <mergeCell ref="D19:I19"/>
    <mergeCell ref="D26:I26"/>
    <mergeCell ref="D47:I47"/>
    <mergeCell ref="D28:D29"/>
    <mergeCell ref="D30:D31"/>
    <mergeCell ref="D32:D33"/>
    <mergeCell ref="D34:D35"/>
    <mergeCell ref="D36:D37"/>
    <mergeCell ref="D38:D39"/>
    <mergeCell ref="D4:I4"/>
    <mergeCell ref="D42:I42"/>
    <mergeCell ref="D40:D41"/>
    <mergeCell ref="D87:D89"/>
    <mergeCell ref="D61:I61"/>
    <mergeCell ref="D62:D64"/>
    <mergeCell ref="D67:D69"/>
    <mergeCell ref="D72:D74"/>
    <mergeCell ref="D82:D84"/>
    <mergeCell ref="D77:D79"/>
    <mergeCell ref="D48:D49"/>
    <mergeCell ref="D50:D51"/>
    <mergeCell ref="D52:D53"/>
    <mergeCell ref="E48:I49"/>
    <mergeCell ref="E50:I51"/>
    <mergeCell ref="E52:I53"/>
    <mergeCell ref="D57:I57"/>
    <mergeCell ref="D58:I58"/>
    <mergeCell ref="B17:B18"/>
    <mergeCell ref="B20:B21"/>
    <mergeCell ref="D54:I54"/>
    <mergeCell ref="D55:I56"/>
    <mergeCell ref="B23:B24"/>
    <mergeCell ref="B26:B27"/>
    <mergeCell ref="B29:B30"/>
    <mergeCell ref="B32:B33"/>
    <mergeCell ref="B35:B36"/>
    <mergeCell ref="B38:B39"/>
    <mergeCell ref="B41:B42"/>
    <mergeCell ref="B44:B45"/>
    <mergeCell ref="B47:B48"/>
    <mergeCell ref="B50:B51"/>
    <mergeCell ref="B2:B3"/>
    <mergeCell ref="B5:B6"/>
    <mergeCell ref="B8:B9"/>
    <mergeCell ref="B11:B12"/>
    <mergeCell ref="B14:B15"/>
  </mergeCells>
  <hyperlinks>
    <hyperlink ref="B2" location="Panel!C4" display="HOME" xr:uid="{6A90E950-8E10-4A07-8A73-6692E084C7BB}"/>
    <hyperlink ref="B5" location="Panel!C4" display="HOME" xr:uid="{3F798BF0-B55A-4472-9D66-6D92A9442A89}"/>
    <hyperlink ref="B17" location="Panel!C4" display="HOME" xr:uid="{A272D7DF-0E99-476B-8255-5F1833C248CC}"/>
    <hyperlink ref="B20" location="Panel!C4" display="HOME" xr:uid="{F7F387CE-8EA9-4498-9A3B-8EDC4ABDA199}"/>
    <hyperlink ref="B23" location="Panel!C4" display="HOME" xr:uid="{D134B1B4-3640-4F57-A3A9-8F98B9E777C8}"/>
    <hyperlink ref="B5:B6" location="data_formula_legend!A1" display="DATA" xr:uid="{6BE7A3F2-3C4D-4C4A-B1A2-D4BACAFBFAC7}"/>
    <hyperlink ref="B17:B18" location="day_1!A1" display="DAY 1" xr:uid="{11BF63BD-8C5D-44B3-BC27-2E32B41D3FBB}"/>
    <hyperlink ref="B8" location="Panel!C4" display="HOME" xr:uid="{334B3001-136F-4F8C-B635-DE1E8B3DBC53}"/>
    <hyperlink ref="B8:B9" location="Runsheet!A1" display="RUNSHEET" xr:uid="{980537DB-8218-42FE-973D-27EA8EDE9847}"/>
    <hyperlink ref="B20:B21" location="day_2!A1" display="DAY 2" xr:uid="{4FF3DC85-9F52-406C-B28F-75CB9800C588}"/>
    <hyperlink ref="B23:B24" location="day_3!A1" display="DAY 3" xr:uid="{BCAC1249-C436-4366-A866-5D1359921AB5}"/>
    <hyperlink ref="B2:B3" location="HOME!A1" display="HOME" xr:uid="{0591FEF6-7D62-4F4C-A9CF-E30B472CCFB1}"/>
    <hyperlink ref="B26" location="Panel!C4" display="HOME" xr:uid="{8CFEF171-E4B7-4F45-8C7F-AA53155EB2ED}"/>
    <hyperlink ref="B26:B27" location="day_5!A1" display="DAY 4" xr:uid="{5C6492C2-F31F-4583-9E32-561A06DDA1E5}"/>
    <hyperlink ref="B29" location="Panel!C4" display="HOME" xr:uid="{355DA360-19F9-4724-80AA-DC3ECACC555C}"/>
    <hyperlink ref="B29:B30" location="day_5!A1" display="DAY 5" xr:uid="{4C86D120-700E-4877-9E93-A46D563BE95E}"/>
    <hyperlink ref="B32" location="Panel!C4" display="HOME" xr:uid="{378FC487-B22F-42D5-AFF2-E74039A5A0F2}"/>
    <hyperlink ref="B32:B33" location="day_6!A1" display="DAY 6" xr:uid="{586A9796-0727-46BB-A982-30430A698C02}"/>
    <hyperlink ref="B14:B15" location="'Food Serves'!A1" display="FOOD SERVES" xr:uid="{0867B346-310F-474E-884F-FF4D1CA0EAED}"/>
    <hyperlink ref="B11:B12" location="'Rest Runsheet Food'!A1" display="RESTAURANT RUNSHEET" xr:uid="{6EEB28D6-0D07-4EF5-95A4-CA6FCA419A30}"/>
    <hyperlink ref="B14" location="Panel!C4" display="HOME" xr:uid="{4C65950E-5A77-4FB5-9AB8-8EA5176EFC91}"/>
    <hyperlink ref="B11" location="Panel!C4" display="HOME" xr:uid="{605A64A7-D99C-4BE9-B1D9-1A548233AB68}"/>
    <hyperlink ref="B35" location="Panel!C4" display="HOME" xr:uid="{409B7011-3325-45DF-80EC-B80C7CA75040}"/>
    <hyperlink ref="B35:B36" location="day_7!A1" display="DAY 7" xr:uid="{E16846BE-B317-47F9-9163-2AB55100F41C}"/>
    <hyperlink ref="B38" location="Panel!C4" display="HOME" xr:uid="{9E79437E-7BE3-4402-9937-C4372698FB40}"/>
    <hyperlink ref="B38:B39" location="day_8!A1" display="DAY 8" xr:uid="{C890F21A-C5C6-48DD-9FF6-308E2C4EA689}"/>
    <hyperlink ref="B41" location="Panel!C4" display="HOME" xr:uid="{AC6087D2-DE8F-4CFE-ABDE-2FF460925261}"/>
    <hyperlink ref="B41:B42" location="day_9!A1" display="DAY 9" xr:uid="{2B285135-F998-443B-9A63-FD2D7FA8A69A}"/>
    <hyperlink ref="B44" location="Panel!C4" display="HOME" xr:uid="{28A198B1-317A-4D66-BFBA-D5A00F08C6F1}"/>
    <hyperlink ref="B44:B45" location="day_10!A1" display="DAY 10" xr:uid="{239A2FA1-9798-4BDA-894E-ADE5C9A2B8DD}"/>
    <hyperlink ref="B47" location="Panel!C4" display="HOME" xr:uid="{52F193DA-EC7C-4335-B992-DB1557613A08}"/>
    <hyperlink ref="B47:B48" location="day_11!A1" display="DAY 11" xr:uid="{BDAEA22F-9BD8-4280-BAD9-44FF2813C719}"/>
    <hyperlink ref="B50" location="Panel!C4" display="HOME" xr:uid="{3320928C-D82A-41AD-A6C0-FC82DB7F60F4}"/>
    <hyperlink ref="B50:B51" location="day_12!A1" display="DAY 12" xr:uid="{FF232A22-F4B5-4852-A2F1-FBD1D1EA4B1D}"/>
  </hyperlinks>
  <pageMargins left="0.23622047244094491" right="0.23622047244094491" top="0.15748031496062992" bottom="0.74803149606299213" header="0.31496062992125984" footer="0.31496062992125984"/>
  <pageSetup paperSize="9" scale="5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938A9-9D97-4EE6-A8C1-C0A93E96D142}">
  <sheetPr codeName="Sheet10">
    <pageSetUpPr fitToPage="1"/>
  </sheetPr>
  <dimension ref="A1:I259"/>
  <sheetViews>
    <sheetView topLeftCell="A13" workbookViewId="0">
      <selection activeCell="B11" sqref="B11:B12"/>
    </sheetView>
  </sheetViews>
  <sheetFormatPr defaultRowHeight="15.6" x14ac:dyDescent="0.3"/>
  <cols>
    <col min="1" max="1" width="1.77734375" style="216" customWidth="1"/>
    <col min="2" max="2" width="15.77734375" style="217" customWidth="1"/>
    <col min="3" max="3" width="1.77734375" style="216" customWidth="1"/>
    <col min="4" max="4" width="43.77734375" bestFit="1" customWidth="1"/>
    <col min="5" max="5" width="20.5546875" bestFit="1" customWidth="1"/>
    <col min="6" max="6" width="47.88671875" bestFit="1" customWidth="1"/>
    <col min="7" max="7" width="23.109375" bestFit="1" customWidth="1"/>
    <col min="8" max="8" width="27.21875" bestFit="1" customWidth="1"/>
    <col min="9" max="9" width="13.6640625" bestFit="1" customWidth="1"/>
  </cols>
  <sheetData>
    <row r="1" spans="1:9" ht="16.2" thickBot="1" x14ac:dyDescent="0.35">
      <c r="A1" s="212"/>
      <c r="B1" s="213"/>
      <c r="C1" s="212"/>
      <c r="D1" s="16"/>
      <c r="E1" s="351" t="str">
        <f>Runsheet!M7</f>
        <v>Day 2</v>
      </c>
      <c r="F1" s="351"/>
      <c r="G1" s="351"/>
      <c r="H1" s="17"/>
      <c r="I1" s="18"/>
    </row>
    <row r="2" spans="1:9" ht="15" customHeight="1" thickTop="1" x14ac:dyDescent="0.3">
      <c r="A2" s="212"/>
      <c r="B2" s="318" t="s">
        <v>264</v>
      </c>
      <c r="C2" s="212"/>
      <c r="D2" s="19"/>
      <c r="E2" s="352">
        <f>Runsheet!M6</f>
        <v>44787</v>
      </c>
      <c r="F2" s="352"/>
      <c r="G2" s="352"/>
      <c r="H2" s="4"/>
      <c r="I2" s="21"/>
    </row>
    <row r="3" spans="1:9" ht="15" customHeight="1" thickBot="1" x14ac:dyDescent="0.35">
      <c r="A3" s="212"/>
      <c r="B3" s="319"/>
      <c r="C3" s="212"/>
      <c r="D3" s="19"/>
      <c r="E3" s="127"/>
      <c r="F3" s="127"/>
      <c r="G3" s="127"/>
      <c r="H3" s="4"/>
      <c r="I3" s="21"/>
    </row>
    <row r="4" spans="1:9" ht="16.8" thickTop="1" thickBot="1" x14ac:dyDescent="0.35">
      <c r="A4" s="212"/>
      <c r="B4" s="213"/>
      <c r="C4" s="212"/>
      <c r="D4" s="354" t="s">
        <v>179</v>
      </c>
      <c r="E4" s="355"/>
      <c r="F4" s="355"/>
      <c r="G4" s="355"/>
      <c r="H4" s="355"/>
      <c r="I4" s="356"/>
    </row>
    <row r="5" spans="1:9" ht="15" customHeight="1" thickTop="1" x14ac:dyDescent="0.3">
      <c r="A5" s="212"/>
      <c r="B5" s="320" t="s">
        <v>247</v>
      </c>
      <c r="C5" s="212"/>
      <c r="D5" s="136" t="s">
        <v>37</v>
      </c>
      <c r="E5" s="136" t="s">
        <v>190</v>
      </c>
      <c r="F5" s="136" t="s">
        <v>195</v>
      </c>
      <c r="G5" s="136" t="s">
        <v>200</v>
      </c>
      <c r="H5" s="4"/>
      <c r="I5" s="21"/>
    </row>
    <row r="6" spans="1:9" ht="15" customHeight="1" thickBot="1" x14ac:dyDescent="0.35">
      <c r="A6" s="212"/>
      <c r="B6" s="321"/>
      <c r="C6" s="212"/>
      <c r="D6" s="137" t="str">
        <f>guest_lists[[#This Row],[tour_type]]</f>
        <v>12 - DPCYT</v>
      </c>
      <c r="E6" s="137" t="str">
        <f>guest_lists[[#This Row],[guest_lists]]</f>
        <v>Penelope Lister</v>
      </c>
      <c r="F6" s="137" t="str">
        <f>guest_lists[[#This Row],[party]]</f>
        <v>party_1 G1</v>
      </c>
      <c r="G6" s="137" t="str">
        <f>guest_lists[[#This Row],[dietary_requirements2]]</f>
        <v>nil</v>
      </c>
      <c r="H6" s="4"/>
      <c r="I6" s="21"/>
    </row>
    <row r="7" spans="1:9" ht="16.8" thickTop="1" thickBot="1" x14ac:dyDescent="0.35">
      <c r="A7" s="214"/>
      <c r="B7" s="213"/>
      <c r="C7" s="214"/>
      <c r="D7" s="137" t="str">
        <f>guest_lists[[#This Row],[tour_type]]</f>
        <v>12 - DPCYT</v>
      </c>
      <c r="E7" s="137" t="str">
        <f>guest_lists[[#This Row],[guest_lists]]</f>
        <v>Gerald Lister</v>
      </c>
      <c r="F7" s="137" t="str">
        <f>guest_lists[[#This Row],[party]]</f>
        <v>party_1 G2</v>
      </c>
      <c r="G7" s="137" t="str">
        <f>guest_lists[[#This Row],[dietary_requirements2]]</f>
        <v>nil</v>
      </c>
      <c r="H7" s="4"/>
      <c r="I7" s="21"/>
    </row>
    <row r="8" spans="1:9" ht="15" customHeight="1" thickTop="1" x14ac:dyDescent="0.3">
      <c r="A8" s="212"/>
      <c r="B8" s="318" t="s">
        <v>265</v>
      </c>
      <c r="C8" s="212"/>
      <c r="D8" s="137" t="str">
        <f>guest_lists[[#This Row],[tour_type]]</f>
        <v>12 - DPCYT</v>
      </c>
      <c r="E8" s="137" t="str">
        <f>guest_lists[[#This Row],[guest_lists]]</f>
        <v>Denis Lister</v>
      </c>
      <c r="F8" s="137" t="str">
        <f>guest_lists[[#This Row],[party]]</f>
        <v>party_2 G1</v>
      </c>
      <c r="G8" s="137" t="str">
        <f>guest_lists[[#This Row],[dietary_requirements2]]</f>
        <v>nil</v>
      </c>
      <c r="H8" s="4"/>
      <c r="I8" s="21"/>
    </row>
    <row r="9" spans="1:9" ht="15" customHeight="1" thickBot="1" x14ac:dyDescent="0.35">
      <c r="A9" s="212"/>
      <c r="B9" s="319"/>
      <c r="C9" s="215"/>
      <c r="D9" s="137" t="str">
        <f>guest_lists[[#This Row],[tour_type]]</f>
        <v>12 - DSCYT</v>
      </c>
      <c r="E9" s="137" t="str">
        <f>guest_lists[[#This Row],[guest_lists]]</f>
        <v>Mark Morgan</v>
      </c>
      <c r="F9" s="137" t="str">
        <f>guest_lists[[#This Row],[party]]</f>
        <v>party_3 G1</v>
      </c>
      <c r="G9" s="137" t="str">
        <f>guest_lists[[#This Row],[dietary_requirements2]]</f>
        <v>nil</v>
      </c>
      <c r="H9" s="4"/>
      <c r="I9" s="21"/>
    </row>
    <row r="10" spans="1:9" ht="16.8" thickTop="1" thickBot="1" x14ac:dyDescent="0.35">
      <c r="A10" s="212"/>
      <c r="B10" s="213"/>
      <c r="C10" s="215"/>
      <c r="D10" s="137" t="str">
        <f>guest_lists[[#This Row],[tour_type]]</f>
        <v>12 - DSCYT</v>
      </c>
      <c r="E10" s="137" t="str">
        <f>guest_lists[[#This Row],[guest_lists]]</f>
        <v>Nicola Morgan</v>
      </c>
      <c r="F10" s="137" t="str">
        <f>guest_lists[[#This Row],[party]]</f>
        <v>party_3 G2</v>
      </c>
      <c r="G10" s="137" t="str">
        <f>guest_lists[[#This Row],[dietary_requirements2]]</f>
        <v>nil</v>
      </c>
      <c r="H10" s="4"/>
      <c r="I10" s="21"/>
    </row>
    <row r="11" spans="1:9" ht="15" customHeight="1" thickTop="1" x14ac:dyDescent="0.3">
      <c r="A11" s="212"/>
      <c r="B11" s="318" t="s">
        <v>511</v>
      </c>
      <c r="C11" s="215"/>
      <c r="D11" s="137" t="str">
        <f>guest_lists[[#This Row],[tour_type]]</f>
        <v>12 - DSCYT</v>
      </c>
      <c r="E11" s="137" t="str">
        <f>guest_lists[[#This Row],[guest_lists]]</f>
        <v>Joan Roberts</v>
      </c>
      <c r="F11" s="137" t="str">
        <f>guest_lists[[#This Row],[party]]</f>
        <v>party_4 G1</v>
      </c>
      <c r="G11" s="137" t="str">
        <f>guest_lists[[#This Row],[dietary_requirements2]]</f>
        <v>nil</v>
      </c>
      <c r="H11" s="4"/>
      <c r="I11" s="21"/>
    </row>
    <row r="12" spans="1:9" ht="15" customHeight="1" thickBot="1" x14ac:dyDescent="0.35">
      <c r="A12" s="212"/>
      <c r="B12" s="319"/>
      <c r="C12" s="215"/>
      <c r="D12" s="137" t="str">
        <f>guest_lists[[#This Row],[tour_type]]</f>
        <v>12 - DSCYT</v>
      </c>
      <c r="E12" s="137" t="str">
        <f>guest_lists[[#This Row],[guest_lists]]</f>
        <v>Valerie Mead</v>
      </c>
      <c r="F12" s="137" t="str">
        <f>guest_lists[[#This Row],[party]]</f>
        <v>party_4 G2</v>
      </c>
      <c r="G12" s="137" t="str">
        <f>guest_lists[[#This Row],[dietary_requirements2]]</f>
        <v>nil</v>
      </c>
      <c r="H12" s="128"/>
      <c r="I12" s="21"/>
    </row>
    <row r="13" spans="1:9" ht="16.8" thickTop="1" thickBot="1" x14ac:dyDescent="0.35">
      <c r="A13" s="212"/>
      <c r="B13" s="213"/>
      <c r="C13" s="215"/>
      <c r="D13" s="137" t="str">
        <f>guest_lists[[#This Row],[tour_type]]</f>
        <v>12 - DSCYT</v>
      </c>
      <c r="E13" s="137" t="str">
        <f>guest_lists[[#This Row],[guest_lists]]</f>
        <v>Ann Berriman</v>
      </c>
      <c r="F13" s="137" t="str">
        <f>guest_lists[[#This Row],[party]]</f>
        <v>party_5 G1</v>
      </c>
      <c r="G13" s="137" t="str">
        <f>guest_lists[[#This Row],[dietary_requirements2]]</f>
        <v>nil</v>
      </c>
      <c r="H13" s="128"/>
      <c r="I13" s="21"/>
    </row>
    <row r="14" spans="1:9" ht="15" customHeight="1" thickTop="1" x14ac:dyDescent="0.3">
      <c r="A14" s="212"/>
      <c r="B14" s="318" t="s">
        <v>512</v>
      </c>
      <c r="C14" s="215"/>
      <c r="D14" s="137" t="str">
        <f>guest_lists[[#This Row],[tour_type]]</f>
        <v>12 - DSCYT</v>
      </c>
      <c r="E14" s="137" t="str">
        <f>guest_lists[[#This Row],[guest_lists]]</f>
        <v>Wanda Drost</v>
      </c>
      <c r="F14" s="137" t="str">
        <f>guest_lists[[#This Row],[party]]</f>
        <v>party_5 G2</v>
      </c>
      <c r="G14" s="137" t="str">
        <f>guest_lists[[#This Row],[dietary_requirements2]]</f>
        <v>celiac</v>
      </c>
      <c r="H14" s="128"/>
      <c r="I14" s="21"/>
    </row>
    <row r="15" spans="1:9" ht="15" customHeight="1" thickBot="1" x14ac:dyDescent="0.35">
      <c r="A15" s="212"/>
      <c r="B15" s="319"/>
      <c r="C15" s="215"/>
      <c r="D15" s="137" t="str">
        <f>guest_lists[[#This Row],[tour_type]]</f>
        <v>5 - DTT</v>
      </c>
      <c r="E15" s="137" t="str">
        <f>guest_lists[[#This Row],[guest_lists]]</f>
        <v>Ian Neil</v>
      </c>
      <c r="F15" s="137" t="str">
        <f>guest_lists[[#This Row],[party]]</f>
        <v>party_6 G1</v>
      </c>
      <c r="G15" s="137" t="str">
        <f>guest_lists[[#This Row],[dietary_requirements2]]</f>
        <v>nil</v>
      </c>
      <c r="H15" s="4"/>
      <c r="I15" s="21"/>
    </row>
    <row r="16" spans="1:9" ht="16.8" thickTop="1" thickBot="1" x14ac:dyDescent="0.35">
      <c r="A16" s="212"/>
      <c r="B16" s="213"/>
      <c r="C16" s="215"/>
      <c r="D16" s="137" t="str">
        <f>guest_lists[[#This Row],[tour_type]]</f>
        <v>5 - DTT</v>
      </c>
      <c r="E16" s="137" t="str">
        <f>guest_lists[[#This Row],[guest_lists]]</f>
        <v>Graheme Fergueson</v>
      </c>
      <c r="F16" s="137" t="str">
        <f>guest_lists[[#This Row],[party]]</f>
        <v>party_6 G2</v>
      </c>
      <c r="G16" s="137" t="str">
        <f>guest_lists[[#This Row],[dietary_requirements2]]</f>
        <v>nil</v>
      </c>
      <c r="H16" s="4"/>
      <c r="I16" s="21"/>
    </row>
    <row r="17" spans="1:9" ht="15" thickTop="1" x14ac:dyDescent="0.3">
      <c r="A17" s="212"/>
      <c r="B17" s="318" t="s">
        <v>266</v>
      </c>
      <c r="C17" s="215"/>
      <c r="D17" s="137" t="str">
        <f>guest_lists[[#This Row],[tour_type]]</f>
        <v>9 - DPSYT</v>
      </c>
      <c r="E17" s="137" t="str">
        <f>guest_lists[[#This Row],[guest_lists]]</f>
        <v>Raewyn Brookie</v>
      </c>
      <c r="F17" s="137" t="str">
        <f>guest_lists[[#This Row],[party]]</f>
        <v>party_7 G1</v>
      </c>
      <c r="G17" s="137" t="str">
        <f>guest_lists[[#This Row],[dietary_requirements2]]</f>
        <v>nil</v>
      </c>
      <c r="H17" s="4"/>
      <c r="I17" s="21"/>
    </row>
    <row r="18" spans="1:9" ht="15" customHeight="1" thickBot="1" x14ac:dyDescent="0.35">
      <c r="A18" s="212"/>
      <c r="B18" s="319"/>
      <c r="C18" s="215"/>
      <c r="D18" s="325" t="s">
        <v>33</v>
      </c>
      <c r="E18" s="326"/>
      <c r="F18" s="326"/>
      <c r="G18" s="326"/>
      <c r="H18" s="326"/>
      <c r="I18" s="327"/>
    </row>
    <row r="19" spans="1:9" ht="15" customHeight="1" thickTop="1" thickBot="1" x14ac:dyDescent="0.35">
      <c r="A19" s="212"/>
      <c r="B19" s="213"/>
      <c r="C19" s="215"/>
      <c r="D19" s="129" t="str">
        <f>Runsheet!E8</f>
        <v>Accommodation Booked</v>
      </c>
      <c r="E19" s="73" t="str">
        <f>Runsheet!E9</f>
        <v>Accommodation Entity</v>
      </c>
      <c r="F19" s="73" t="str">
        <f>Runsheet!F9</f>
        <v>Address</v>
      </c>
      <c r="G19" s="73" t="str">
        <f>Runsheet!G9</f>
        <v>Number of rooms on hold</v>
      </c>
      <c r="H19" s="73" t="str">
        <f>Runsheet!H9</f>
        <v>Bedding Configuration Booked</v>
      </c>
      <c r="I19" s="130" t="str">
        <f>Runsheet!I9</f>
        <v>Contact Details</v>
      </c>
    </row>
    <row r="20" spans="1:9" ht="15" thickTop="1" x14ac:dyDescent="0.3">
      <c r="A20" s="212"/>
      <c r="B20" s="318" t="s">
        <v>267</v>
      </c>
      <c r="C20" s="215"/>
      <c r="D20" s="131" t="str">
        <f>Runsheet!D10</f>
        <v>Accommodation #1</v>
      </c>
      <c r="E20" s="61" t="str">
        <f>Runsheet!M10</f>
        <v>Chillagoe Cabins</v>
      </c>
      <c r="F20" s="61" t="str">
        <f>Runsheet!N10</f>
        <v>69-71 Queen St, Chillagoe QLD 4871</v>
      </c>
      <c r="G20" s="61">
        <f>Runsheet!O10</f>
        <v>2</v>
      </c>
      <c r="H20" s="61">
        <f>Runsheet!P10</f>
        <v>0</v>
      </c>
      <c r="I20" s="61" t="str">
        <f>Runsheet!Q10</f>
        <v>(07) 4094 7206</v>
      </c>
    </row>
    <row r="21" spans="1:9" ht="15" customHeight="1" thickBot="1" x14ac:dyDescent="0.35">
      <c r="A21" s="212"/>
      <c r="B21" s="319"/>
      <c r="C21" s="215"/>
      <c r="D21" s="131" t="str">
        <f>Runsheet!D11</f>
        <v>Accommodation #2</v>
      </c>
      <c r="E21" s="61" t="str">
        <f>Runsheet!M11</f>
        <v>Chillagoe Ecolodge</v>
      </c>
      <c r="F21" s="61" t="str">
        <f>Runsheet!N11</f>
        <v>1 Hospital Ave, Chillagoe QLD 4871</v>
      </c>
      <c r="G21" s="61">
        <f>Runsheet!O11</f>
        <v>4</v>
      </c>
      <c r="H21" s="61">
        <f>Runsheet!P11</f>
        <v>0</v>
      </c>
      <c r="I21" s="61" t="str">
        <f>Runsheet!Q11</f>
        <v> (07) 4094 7155</v>
      </c>
    </row>
    <row r="22" spans="1:9" ht="12.6" customHeight="1" thickTop="1" thickBot="1" x14ac:dyDescent="0.35">
      <c r="A22" s="212"/>
      <c r="B22" s="213"/>
      <c r="C22" s="215"/>
      <c r="D22" s="131" t="str">
        <f>Runsheet!D12</f>
        <v>Accommodation #3</v>
      </c>
      <c r="E22" s="61" t="str">
        <f>Runsheet!M12</f>
        <v>Cockatoo Hotel</v>
      </c>
      <c r="F22" s="61" t="str">
        <f>Runsheet!N12</f>
        <v>2 Tower St, Chillagoe QLD 4871</v>
      </c>
      <c r="G22" s="61">
        <f>Runsheet!O12</f>
        <v>1</v>
      </c>
      <c r="H22" s="61">
        <f>Runsheet!P12</f>
        <v>0</v>
      </c>
      <c r="I22" s="61" t="str">
        <f>Runsheet!Q12</f>
        <v>(07) 4094 7168</v>
      </c>
    </row>
    <row r="23" spans="1:9" ht="15" thickTop="1" x14ac:dyDescent="0.3">
      <c r="A23" s="212"/>
      <c r="B23" s="318" t="s">
        <v>268</v>
      </c>
      <c r="C23" s="215"/>
      <c r="D23" s="131" t="str">
        <f>Runsheet!D13</f>
        <v>Accommodation #4</v>
      </c>
      <c r="E23" s="61">
        <f>Runsheet!M13</f>
        <v>0</v>
      </c>
      <c r="F23" s="61">
        <f>Runsheet!N13</f>
        <v>0</v>
      </c>
      <c r="G23" s="61">
        <f>Runsheet!O13</f>
        <v>0</v>
      </c>
      <c r="H23" s="61">
        <f>Runsheet!P13</f>
        <v>0</v>
      </c>
      <c r="I23" s="61">
        <f>Runsheet!Q13</f>
        <v>0</v>
      </c>
    </row>
    <row r="24" spans="1:9" ht="15.6" customHeight="1" thickBot="1" x14ac:dyDescent="0.35">
      <c r="A24" s="212"/>
      <c r="B24" s="319"/>
      <c r="C24" s="215"/>
      <c r="D24" s="19"/>
      <c r="E24" s="4"/>
      <c r="F24" s="20" t="str">
        <f>Runsheet!F14</f>
        <v xml:space="preserve">Total Accommodation </v>
      </c>
      <c r="G24" s="74">
        <f>Runsheet!O14</f>
        <v>7</v>
      </c>
      <c r="H24" s="4"/>
      <c r="I24" s="21"/>
    </row>
    <row r="25" spans="1:9" ht="15.6" customHeight="1" thickTop="1" thickBot="1" x14ac:dyDescent="0.35">
      <c r="A25" s="212"/>
      <c r="B25" s="213"/>
      <c r="C25" s="215"/>
      <c r="D25" s="19"/>
      <c r="E25" s="4"/>
      <c r="F25" s="4"/>
      <c r="G25" s="4"/>
      <c r="H25" s="4"/>
      <c r="I25" s="21"/>
    </row>
    <row r="26" spans="1:9" ht="15" thickTop="1" x14ac:dyDescent="0.3">
      <c r="A26" s="212"/>
      <c r="B26" s="318" t="s">
        <v>269</v>
      </c>
      <c r="C26" s="215"/>
      <c r="D26" s="325" t="str">
        <f>Runsheet!D15</f>
        <v>Guests Accommodation</v>
      </c>
      <c r="E26" s="326"/>
      <c r="F26" s="326"/>
      <c r="G26" s="326"/>
      <c r="H26" s="326"/>
      <c r="I26" s="327"/>
    </row>
    <row r="27" spans="1:9" ht="15" customHeight="1" thickBot="1" x14ac:dyDescent="0.35">
      <c r="A27" s="212"/>
      <c r="B27" s="319"/>
      <c r="C27" s="215"/>
      <c r="D27" s="100" t="s">
        <v>195</v>
      </c>
      <c r="E27" s="76" t="s">
        <v>36</v>
      </c>
      <c r="F27" s="72" t="s">
        <v>33</v>
      </c>
      <c r="G27" s="20" t="s">
        <v>161</v>
      </c>
      <c r="H27" s="20" t="s">
        <v>186</v>
      </c>
      <c r="I27" s="48" t="s">
        <v>189</v>
      </c>
    </row>
    <row r="28" spans="1:9" ht="15" customHeight="1" thickTop="1" thickBot="1" x14ac:dyDescent="0.35">
      <c r="A28" s="212"/>
      <c r="B28" s="213"/>
      <c r="C28" s="215"/>
      <c r="D28" s="353" t="str">
        <f>Runsheet!D17</f>
        <v>Party 1</v>
      </c>
      <c r="E28" s="65" t="str">
        <f>Runsheet!E17</f>
        <v>Penelope Lister</v>
      </c>
      <c r="F28" s="65" t="str">
        <f>Runsheet!O17</f>
        <v>Chillagoe Cabins</v>
      </c>
      <c r="G28" s="65" t="str">
        <f>Runsheet!P17</f>
        <v>double</v>
      </c>
      <c r="H28" s="65">
        <f>Runsheet!Q17</f>
        <v>0</v>
      </c>
      <c r="I28" s="65">
        <f>Runsheet!R17</f>
        <v>0</v>
      </c>
    </row>
    <row r="29" spans="1:9" ht="15" thickTop="1" x14ac:dyDescent="0.3">
      <c r="A29" s="212"/>
      <c r="B29" s="318" t="s">
        <v>270</v>
      </c>
      <c r="C29" s="215"/>
      <c r="D29" s="353"/>
      <c r="E29" s="65" t="str">
        <f>Runsheet!E18</f>
        <v>Gerald Lister</v>
      </c>
      <c r="F29" s="65" t="str">
        <f>Runsheet!O18</f>
        <v>Chillagoe Cabins</v>
      </c>
      <c r="G29" s="65" t="str">
        <f>Runsheet!P18</f>
        <v>double</v>
      </c>
      <c r="H29" s="65">
        <f>Runsheet!Q18</f>
        <v>0</v>
      </c>
      <c r="I29" s="65">
        <f>Runsheet!R18</f>
        <v>0</v>
      </c>
    </row>
    <row r="30" spans="1:9" ht="15" customHeight="1" thickBot="1" x14ac:dyDescent="0.35">
      <c r="A30" s="212"/>
      <c r="B30" s="319"/>
      <c r="C30" s="215"/>
      <c r="D30" s="353" t="str">
        <f>Runsheet!D19</f>
        <v>Party 2</v>
      </c>
      <c r="E30" s="65" t="str">
        <f>Runsheet!E19</f>
        <v>Denis Lister</v>
      </c>
      <c r="F30" s="65" t="str">
        <f>Runsheet!O19</f>
        <v>Chillagoe Cabins</v>
      </c>
      <c r="G30" s="65" t="str">
        <f>Runsheet!P19</f>
        <v>double</v>
      </c>
      <c r="H30" s="65">
        <f>Runsheet!Q19</f>
        <v>0</v>
      </c>
      <c r="I30" s="65">
        <f>Runsheet!R19</f>
        <v>0</v>
      </c>
    </row>
    <row r="31" spans="1:9" ht="15" customHeight="1" thickTop="1" thickBot="1" x14ac:dyDescent="0.35">
      <c r="A31" s="212"/>
      <c r="B31" s="213"/>
      <c r="C31" s="215"/>
      <c r="D31" s="353"/>
      <c r="E31" s="65" t="e">
        <f>Runsheet!E20</f>
        <v>#N/A</v>
      </c>
      <c r="F31" s="65">
        <f>Runsheet!O20</f>
        <v>0</v>
      </c>
      <c r="G31" s="65">
        <f>Runsheet!P20</f>
        <v>0</v>
      </c>
      <c r="H31" s="65">
        <f>Runsheet!Q20</f>
        <v>0</v>
      </c>
      <c r="I31" s="65">
        <f>Runsheet!R20</f>
        <v>0</v>
      </c>
    </row>
    <row r="32" spans="1:9" ht="15" thickTop="1" x14ac:dyDescent="0.3">
      <c r="A32" s="212"/>
      <c r="B32" s="318" t="s">
        <v>271</v>
      </c>
      <c r="C32" s="215"/>
      <c r="D32" s="353" t="str">
        <f>Runsheet!D21</f>
        <v>Party 3</v>
      </c>
      <c r="E32" s="65" t="str">
        <f>Runsheet!E21</f>
        <v>Mark Morgan</v>
      </c>
      <c r="F32" s="65" t="str">
        <f>Runsheet!O21</f>
        <v>Chillagoe Ecolodge</v>
      </c>
      <c r="G32" s="65" t="str">
        <f>Runsheet!P21</f>
        <v>double</v>
      </c>
      <c r="H32" s="65">
        <f>Runsheet!Q21</f>
        <v>0</v>
      </c>
      <c r="I32" s="65">
        <f>Runsheet!R21</f>
        <v>0</v>
      </c>
    </row>
    <row r="33" spans="1:9" ht="15" customHeight="1" thickBot="1" x14ac:dyDescent="0.35">
      <c r="A33" s="212"/>
      <c r="B33" s="319"/>
      <c r="C33" s="215"/>
      <c r="D33" s="353"/>
      <c r="E33" s="65" t="str">
        <f>Runsheet!E22</f>
        <v>Nicola Morgan</v>
      </c>
      <c r="F33" s="65" t="str">
        <f>Runsheet!O22</f>
        <v>Chillagoe Ecolodge</v>
      </c>
      <c r="G33" s="65" t="str">
        <f>Runsheet!P22</f>
        <v>double</v>
      </c>
      <c r="H33" s="65">
        <f>Runsheet!Q22</f>
        <v>0</v>
      </c>
      <c r="I33" s="65">
        <f>Runsheet!R22</f>
        <v>0</v>
      </c>
    </row>
    <row r="34" spans="1:9" ht="15" customHeight="1" thickTop="1" thickBot="1" x14ac:dyDescent="0.35">
      <c r="A34" s="212"/>
      <c r="B34" s="213"/>
      <c r="C34" s="215"/>
      <c r="D34" s="353" t="str">
        <f>Runsheet!D23</f>
        <v>Party 4</v>
      </c>
      <c r="E34" s="65" t="str">
        <f>Runsheet!E23</f>
        <v>Joan Roberts</v>
      </c>
      <c r="F34" s="65" t="str">
        <f>Runsheet!O23</f>
        <v>Chillagoe Ecolodge</v>
      </c>
      <c r="G34" s="65" t="str">
        <f>Runsheet!P23</f>
        <v>double</v>
      </c>
      <c r="H34" s="65">
        <f>Runsheet!Q23</f>
        <v>0</v>
      </c>
      <c r="I34" s="65">
        <f>Runsheet!R23</f>
        <v>0</v>
      </c>
    </row>
    <row r="35" spans="1:9" ht="15" thickTop="1" x14ac:dyDescent="0.3">
      <c r="A35" s="212"/>
      <c r="B35" s="318" t="s">
        <v>272</v>
      </c>
      <c r="C35" s="215"/>
      <c r="D35" s="353"/>
      <c r="E35" s="65" t="str">
        <f>Runsheet!E24</f>
        <v>Valerie Mead</v>
      </c>
      <c r="F35" s="65" t="str">
        <f>Runsheet!O24</f>
        <v>Chillagoe Ecolodge</v>
      </c>
      <c r="G35" s="65" t="str">
        <f>Runsheet!P24</f>
        <v>double</v>
      </c>
      <c r="H35" s="65">
        <f>Runsheet!Q24</f>
        <v>0</v>
      </c>
      <c r="I35" s="65">
        <f>Runsheet!R24</f>
        <v>0</v>
      </c>
    </row>
    <row r="36" spans="1:9" ht="15" customHeight="1" thickBot="1" x14ac:dyDescent="0.35">
      <c r="A36" s="212"/>
      <c r="B36" s="319"/>
      <c r="C36" s="215"/>
      <c r="D36" s="353" t="str">
        <f>Runsheet!D25</f>
        <v>Party 5</v>
      </c>
      <c r="E36" s="65" t="str">
        <f>Runsheet!E25</f>
        <v>Ann Berriman</v>
      </c>
      <c r="F36" s="65" t="str">
        <f>Runsheet!O25</f>
        <v>Chillagoe Ecolodge</v>
      </c>
      <c r="G36" s="65" t="str">
        <f>Runsheet!P25</f>
        <v>double</v>
      </c>
      <c r="H36" s="65">
        <f>Runsheet!Q25</f>
        <v>0</v>
      </c>
      <c r="I36" s="65">
        <f>Runsheet!R25</f>
        <v>0</v>
      </c>
    </row>
    <row r="37" spans="1:9" ht="15" customHeight="1" thickTop="1" thickBot="1" x14ac:dyDescent="0.35">
      <c r="A37" s="212"/>
      <c r="B37" s="213"/>
      <c r="C37" s="215"/>
      <c r="D37" s="353"/>
      <c r="E37" s="65" t="str">
        <f>Runsheet!E26</f>
        <v>Wanda Drost</v>
      </c>
      <c r="F37" s="65" t="str">
        <f>Runsheet!O26</f>
        <v>Chillagoe Ecolodge</v>
      </c>
      <c r="G37" s="65" t="str">
        <f>Runsheet!P26</f>
        <v>double</v>
      </c>
      <c r="H37" s="65">
        <f>Runsheet!Q26</f>
        <v>0</v>
      </c>
      <c r="I37" s="65">
        <f>Runsheet!R26</f>
        <v>0</v>
      </c>
    </row>
    <row r="38" spans="1:9" ht="15" thickTop="1" x14ac:dyDescent="0.3">
      <c r="A38" s="212"/>
      <c r="B38" s="318" t="s">
        <v>273</v>
      </c>
      <c r="C38" s="215"/>
      <c r="D38" s="353" t="str">
        <f>Runsheet!D27</f>
        <v>Party 6</v>
      </c>
      <c r="E38" s="65" t="str">
        <f>Runsheet!E27</f>
        <v>Ian Neil</v>
      </c>
      <c r="F38" s="65" t="str">
        <f>Runsheet!O27</f>
        <v>Chillagoe Ecolodge</v>
      </c>
      <c r="G38" s="65" t="str">
        <f>Runsheet!P27</f>
        <v>double</v>
      </c>
      <c r="H38" s="65">
        <f>Runsheet!Q27</f>
        <v>0</v>
      </c>
      <c r="I38" s="65">
        <f>Runsheet!R27</f>
        <v>0</v>
      </c>
    </row>
    <row r="39" spans="1:9" ht="15" customHeight="1" thickBot="1" x14ac:dyDescent="0.35">
      <c r="A39" s="212"/>
      <c r="B39" s="319"/>
      <c r="C39" s="215"/>
      <c r="D39" s="353"/>
      <c r="E39" s="65" t="str">
        <f>Runsheet!E28</f>
        <v>Graheme Fergueson</v>
      </c>
      <c r="F39" s="65" t="str">
        <f>Runsheet!O28</f>
        <v>Chillagoe Ecolodge</v>
      </c>
      <c r="G39" s="65" t="str">
        <f>Runsheet!P28</f>
        <v>double</v>
      </c>
      <c r="H39" s="65">
        <f>Runsheet!Q28</f>
        <v>0</v>
      </c>
      <c r="I39" s="65">
        <f>Runsheet!R28</f>
        <v>0</v>
      </c>
    </row>
    <row r="40" spans="1:9" ht="14.4" customHeight="1" thickTop="1" thickBot="1" x14ac:dyDescent="0.35">
      <c r="A40" s="212"/>
      <c r="B40" s="213"/>
      <c r="C40" s="215"/>
      <c r="D40" s="353" t="str">
        <f>Runsheet!D29</f>
        <v>Party 7</v>
      </c>
      <c r="E40" s="65" t="str">
        <f>Runsheet!E29</f>
        <v>Raewyn Brookie</v>
      </c>
      <c r="F40" s="65">
        <f>Runsheet!O29</f>
        <v>0</v>
      </c>
      <c r="G40" s="65">
        <f>Runsheet!P29</f>
        <v>0</v>
      </c>
      <c r="H40" s="65">
        <f>Runsheet!Q29</f>
        <v>0</v>
      </c>
      <c r="I40" s="65">
        <f>Runsheet!R29</f>
        <v>0</v>
      </c>
    </row>
    <row r="41" spans="1:9" ht="15" customHeight="1" thickTop="1" x14ac:dyDescent="0.3">
      <c r="A41" s="212"/>
      <c r="B41" s="318" t="s">
        <v>274</v>
      </c>
      <c r="C41" s="215"/>
      <c r="D41" s="353"/>
      <c r="E41" s="65" t="e">
        <f>Runsheet!E30</f>
        <v>#N/A</v>
      </c>
      <c r="F41" s="65">
        <f>Runsheet!O30</f>
        <v>0</v>
      </c>
      <c r="G41" s="65">
        <f>Runsheet!P30</f>
        <v>0</v>
      </c>
      <c r="H41" s="65">
        <f>Runsheet!Q30</f>
        <v>0</v>
      </c>
      <c r="I41" s="65">
        <f>Runsheet!R30</f>
        <v>0</v>
      </c>
    </row>
    <row r="42" spans="1:9" ht="15" thickBot="1" x14ac:dyDescent="0.35">
      <c r="A42" s="212"/>
      <c r="B42" s="319"/>
      <c r="C42" s="215"/>
      <c r="D42" s="325" t="str">
        <f>Runsheet!D36</f>
        <v>Dinning Arrangements</v>
      </c>
      <c r="E42" s="326"/>
      <c r="F42" s="326"/>
      <c r="G42" s="326"/>
      <c r="H42" s="326"/>
      <c r="I42" s="327"/>
    </row>
    <row r="43" spans="1:9" ht="15" customHeight="1" thickTop="1" thickBot="1" x14ac:dyDescent="0.35">
      <c r="A43" s="212"/>
      <c r="B43" s="213"/>
      <c r="C43" s="215"/>
      <c r="D43" s="19"/>
      <c r="E43" s="4"/>
      <c r="F43" s="4"/>
      <c r="G43" s="4"/>
      <c r="H43" s="4"/>
      <c r="I43" s="21"/>
    </row>
    <row r="44" spans="1:9" ht="15" customHeight="1" thickTop="1" x14ac:dyDescent="0.3">
      <c r="A44" s="212"/>
      <c r="B44" s="318" t="s">
        <v>275</v>
      </c>
      <c r="C44" s="215"/>
      <c r="D44" s="328" t="str">
        <f>Runsheet!D37</f>
        <v xml:space="preserve">Breakfast </v>
      </c>
      <c r="E44" s="329" t="str">
        <f>Runsheet!M37</f>
        <v xml:space="preserve">Please supply all guests at P.P and Mena Ck Hotel continental Brekkie </v>
      </c>
      <c r="F44" s="330"/>
      <c r="G44" s="330"/>
      <c r="H44" s="330"/>
      <c r="I44" s="331"/>
    </row>
    <row r="45" spans="1:9" ht="15" thickBot="1" x14ac:dyDescent="0.35">
      <c r="A45" s="212"/>
      <c r="B45" s="319"/>
      <c r="C45" s="215"/>
      <c r="D45" s="328"/>
      <c r="E45" s="332"/>
      <c r="F45" s="333"/>
      <c r="G45" s="333"/>
      <c r="H45" s="333"/>
      <c r="I45" s="334"/>
    </row>
    <row r="46" spans="1:9" ht="57.6" customHeight="1" thickTop="1" thickBot="1" x14ac:dyDescent="0.35">
      <c r="A46" s="212"/>
      <c r="B46" s="213"/>
      <c r="C46" s="215"/>
      <c r="D46" s="328" t="str">
        <f>Runsheet!D39</f>
        <v xml:space="preserve">Lunch </v>
      </c>
      <c r="E46" s="329" t="str">
        <f>Runsheet!M39</f>
        <v xml:space="preserve">Camp 64 on the way in to Chillagoe </v>
      </c>
      <c r="F46" s="330"/>
      <c r="G46" s="330"/>
      <c r="H46" s="330"/>
      <c r="I46" s="331"/>
    </row>
    <row r="47" spans="1:9" ht="15" customHeight="1" thickTop="1" x14ac:dyDescent="0.3">
      <c r="A47" s="212"/>
      <c r="B47" s="318" t="s">
        <v>276</v>
      </c>
      <c r="C47" s="215"/>
      <c r="D47" s="328"/>
      <c r="E47" s="332"/>
      <c r="F47" s="333"/>
      <c r="G47" s="333"/>
      <c r="H47" s="333"/>
      <c r="I47" s="334"/>
    </row>
    <row r="48" spans="1:9" ht="28.8" customHeight="1" thickBot="1" x14ac:dyDescent="0.35">
      <c r="A48" s="212"/>
      <c r="B48" s="319"/>
      <c r="C48" s="215"/>
      <c r="D48" s="328" t="str">
        <f>Runsheet!D41</f>
        <v xml:space="preserve">Dinner </v>
      </c>
      <c r="E48" s="329" t="str">
        <f>Runsheet!M41</f>
        <v>Chillagoe Cabins - 10pax incl. guides booked for dinner (CONFIRMED)</v>
      </c>
      <c r="F48" s="330"/>
      <c r="G48" s="330"/>
      <c r="H48" s="330"/>
      <c r="I48" s="331"/>
    </row>
    <row r="49" spans="1:9" ht="15" customHeight="1" thickTop="1" thickBot="1" x14ac:dyDescent="0.35">
      <c r="A49" s="212"/>
      <c r="B49" s="213"/>
      <c r="C49" s="215"/>
      <c r="D49" s="328"/>
      <c r="E49" s="332"/>
      <c r="F49" s="333"/>
      <c r="G49" s="333"/>
      <c r="H49" s="333"/>
      <c r="I49" s="334"/>
    </row>
    <row r="50" spans="1:9" ht="15" customHeight="1" thickTop="1" x14ac:dyDescent="0.3">
      <c r="A50" s="212"/>
      <c r="B50" s="318" t="s">
        <v>277</v>
      </c>
      <c r="C50" s="215"/>
      <c r="D50" s="134"/>
      <c r="E50" s="75"/>
      <c r="F50" s="75"/>
      <c r="G50" s="75"/>
      <c r="H50" s="75"/>
      <c r="I50" s="135"/>
    </row>
    <row r="51" spans="1:9" ht="15" thickBot="1" x14ac:dyDescent="0.35">
      <c r="A51" s="212"/>
      <c r="B51" s="319"/>
      <c r="C51" s="215"/>
      <c r="D51" s="325" t="s">
        <v>210</v>
      </c>
      <c r="E51" s="326"/>
      <c r="F51" s="326"/>
      <c r="G51" s="326"/>
      <c r="H51" s="326"/>
      <c r="I51" s="327"/>
    </row>
    <row r="52" spans="1:9" ht="15" customHeight="1" thickTop="1" x14ac:dyDescent="0.3">
      <c r="A52" s="212"/>
      <c r="B52" s="213"/>
      <c r="C52" s="215"/>
      <c r="D52" s="322">
        <f>Runsheet!L44</f>
        <v>0</v>
      </c>
      <c r="E52" s="323"/>
      <c r="F52" s="323"/>
      <c r="G52" s="323"/>
      <c r="H52" s="323"/>
      <c r="I52" s="324"/>
    </row>
    <row r="53" spans="1:9" ht="15" customHeight="1" x14ac:dyDescent="0.3">
      <c r="A53" s="212"/>
      <c r="B53" s="213"/>
      <c r="C53" s="215"/>
      <c r="D53" s="322"/>
      <c r="E53" s="323"/>
      <c r="F53" s="323"/>
      <c r="G53" s="323"/>
      <c r="H53" s="323"/>
      <c r="I53" s="324"/>
    </row>
    <row r="54" spans="1:9" x14ac:dyDescent="0.3">
      <c r="A54" s="212"/>
      <c r="B54" s="231"/>
      <c r="C54" s="215"/>
      <c r="D54" s="322">
        <f>Runsheet!L45</f>
        <v>0</v>
      </c>
      <c r="E54" s="323"/>
      <c r="F54" s="323"/>
      <c r="G54" s="323"/>
      <c r="H54" s="323"/>
      <c r="I54" s="324"/>
    </row>
    <row r="55" spans="1:9" x14ac:dyDescent="0.3">
      <c r="A55" s="212"/>
      <c r="B55" s="231"/>
      <c r="C55" s="215"/>
      <c r="D55" s="322"/>
      <c r="E55" s="323"/>
      <c r="F55" s="323"/>
      <c r="G55" s="323"/>
      <c r="H55" s="323"/>
      <c r="I55" s="324"/>
    </row>
    <row r="56" spans="1:9" x14ac:dyDescent="0.3">
      <c r="A56" s="212"/>
      <c r="B56" s="213"/>
      <c r="C56" s="215"/>
      <c r="D56" s="325" t="s">
        <v>347</v>
      </c>
      <c r="E56" s="326"/>
      <c r="F56" s="326"/>
      <c r="G56" s="326"/>
      <c r="H56" s="326"/>
      <c r="I56" s="327"/>
    </row>
    <row r="57" spans="1:9" x14ac:dyDescent="0.3">
      <c r="A57" s="212"/>
      <c r="B57" s="213"/>
      <c r="C57" s="215"/>
      <c r="D57" s="232"/>
      <c r="E57" s="138" cm="1">
        <f t="array" ref="E57:G57">day_2_itinerary_highights[]</f>
        <v>0</v>
      </c>
      <c r="F57" s="138">
        <v>0</v>
      </c>
      <c r="G57" s="138">
        <v>0</v>
      </c>
      <c r="H57" s="138"/>
      <c r="I57" s="233"/>
    </row>
    <row r="58" spans="1:9" x14ac:dyDescent="0.3">
      <c r="A58" s="212"/>
      <c r="B58" s="213"/>
      <c r="C58" s="215"/>
      <c r="D58" s="234"/>
      <c r="E58" s="235"/>
      <c r="F58" s="235"/>
      <c r="G58" s="235"/>
      <c r="H58" s="235"/>
      <c r="I58" s="236"/>
    </row>
    <row r="59" spans="1:9" x14ac:dyDescent="0.3">
      <c r="A59" s="212"/>
      <c r="B59" s="213"/>
      <c r="C59" s="215"/>
      <c r="D59" s="234"/>
      <c r="E59" s="235"/>
      <c r="F59" s="235"/>
      <c r="G59" s="235"/>
      <c r="H59" s="235"/>
      <c r="I59" s="236"/>
    </row>
    <row r="60" spans="1:9" x14ac:dyDescent="0.3">
      <c r="A60" s="212"/>
      <c r="B60" s="213"/>
      <c r="C60" s="215"/>
      <c r="D60" s="325" t="s">
        <v>209</v>
      </c>
      <c r="E60" s="326"/>
      <c r="F60" s="326"/>
      <c r="G60" s="326"/>
      <c r="H60" s="326"/>
      <c r="I60" s="327"/>
    </row>
    <row r="61" spans="1:9" x14ac:dyDescent="0.3">
      <c r="A61" s="212"/>
      <c r="B61" s="213"/>
      <c r="C61" s="215"/>
      <c r="D61" s="359" t="s">
        <v>97</v>
      </c>
      <c r="E61" s="33" t="s">
        <v>11</v>
      </c>
      <c r="F61" s="39" t="str">
        <f>'Rest Runsheet Food'!H10</f>
        <v>Continental</v>
      </c>
      <c r="G61" s="39">
        <f>'Rest Runsheet Food'!I10</f>
        <v>13</v>
      </c>
      <c r="H61" s="4"/>
      <c r="I61" s="21"/>
    </row>
    <row r="62" spans="1:9" x14ac:dyDescent="0.3">
      <c r="A62" s="212"/>
      <c r="B62" s="213"/>
      <c r="C62" s="215"/>
      <c r="D62" s="339"/>
      <c r="E62" s="30" t="s">
        <v>9</v>
      </c>
      <c r="F62" s="39" t="str">
        <f>'Rest Runsheet Food'!H11</f>
        <v>N/A</v>
      </c>
      <c r="G62" s="39">
        <f>'Rest Runsheet Food'!I11</f>
        <v>0</v>
      </c>
      <c r="H62" s="4"/>
      <c r="I62" s="21"/>
    </row>
    <row r="63" spans="1:9" x14ac:dyDescent="0.3">
      <c r="A63" s="212"/>
      <c r="B63" s="213"/>
      <c r="C63" s="215"/>
      <c r="D63" s="340"/>
      <c r="E63" s="34" t="s">
        <v>1</v>
      </c>
      <c r="F63" s="39" t="str">
        <f>'Rest Runsheet Food'!H12</f>
        <v>N/A</v>
      </c>
      <c r="G63" s="39">
        <f>'Rest Runsheet Food'!I12</f>
        <v>0</v>
      </c>
      <c r="H63" s="4"/>
      <c r="I63" s="21"/>
    </row>
    <row r="64" spans="1:9" x14ac:dyDescent="0.3">
      <c r="A64" s="212"/>
      <c r="B64" s="213"/>
      <c r="C64" s="215"/>
      <c r="D64" s="19"/>
      <c r="E64" s="4"/>
      <c r="F64" s="4"/>
      <c r="G64" s="4"/>
      <c r="H64" s="4"/>
      <c r="I64" s="21"/>
    </row>
    <row r="65" spans="1:9" x14ac:dyDescent="0.3">
      <c r="A65" s="212"/>
      <c r="B65" s="213"/>
      <c r="C65" s="215"/>
      <c r="D65" s="19"/>
      <c r="E65" s="4"/>
      <c r="F65" s="37" t="s">
        <v>76</v>
      </c>
      <c r="G65" s="38" t="s">
        <v>77</v>
      </c>
      <c r="H65" s="4"/>
      <c r="I65" s="21"/>
    </row>
    <row r="66" spans="1:9" x14ac:dyDescent="0.3">
      <c r="A66" s="212"/>
      <c r="B66" s="213"/>
      <c r="C66" s="215"/>
      <c r="D66" s="341" t="s">
        <v>120</v>
      </c>
      <c r="E66" s="33" t="s">
        <v>11</v>
      </c>
      <c r="F66" s="39" t="str">
        <f>'Rest Runsheet Food'!H20</f>
        <v>Continental</v>
      </c>
      <c r="G66" s="39">
        <f>'Rest Runsheet Food'!I20</f>
        <v>1</v>
      </c>
      <c r="H66" s="4"/>
      <c r="I66" s="21"/>
    </row>
    <row r="67" spans="1:9" x14ac:dyDescent="0.3">
      <c r="A67" s="212"/>
      <c r="B67" s="213"/>
      <c r="C67" s="215"/>
      <c r="D67" s="342"/>
      <c r="E67" s="30" t="s">
        <v>9</v>
      </c>
      <c r="F67" s="39" t="str">
        <f>'Rest Runsheet Food'!H21</f>
        <v>N/A</v>
      </c>
      <c r="G67" s="39">
        <f>'Rest Runsheet Food'!I21</f>
        <v>0</v>
      </c>
      <c r="H67" s="4"/>
      <c r="I67" s="21"/>
    </row>
    <row r="68" spans="1:9" x14ac:dyDescent="0.3">
      <c r="A68" s="212"/>
      <c r="B68" s="213"/>
      <c r="C68" s="215"/>
      <c r="D68" s="343"/>
      <c r="E68" s="34" t="s">
        <v>1</v>
      </c>
      <c r="F68" s="39" t="str">
        <f>'Rest Runsheet Food'!H22</f>
        <v>N/A</v>
      </c>
      <c r="G68" s="39">
        <f>'Rest Runsheet Food'!I22</f>
        <v>0</v>
      </c>
      <c r="H68" s="4"/>
      <c r="I68" s="21"/>
    </row>
    <row r="69" spans="1:9" x14ac:dyDescent="0.3">
      <c r="A69" s="212"/>
      <c r="B69" s="213"/>
      <c r="C69" s="215"/>
      <c r="D69" s="19"/>
      <c r="E69" s="4"/>
      <c r="F69" s="4"/>
      <c r="G69" s="4"/>
      <c r="H69" s="4"/>
      <c r="I69" s="21"/>
    </row>
    <row r="70" spans="1:9" x14ac:dyDescent="0.3">
      <c r="A70" s="212"/>
      <c r="B70" s="213"/>
      <c r="C70" s="215"/>
      <c r="D70" s="19"/>
      <c r="E70" s="4"/>
      <c r="F70" s="37" t="s">
        <v>76</v>
      </c>
      <c r="G70" s="38" t="s">
        <v>77</v>
      </c>
      <c r="H70" s="4"/>
      <c r="I70" s="21"/>
    </row>
    <row r="71" spans="1:9" x14ac:dyDescent="0.3">
      <c r="A71" s="212"/>
      <c r="B71" s="213"/>
      <c r="C71" s="215"/>
      <c r="D71" s="344" t="s">
        <v>123</v>
      </c>
      <c r="E71" s="33" t="s">
        <v>11</v>
      </c>
      <c r="F71" s="39" t="str">
        <f>'Rest Runsheet Food'!H29</f>
        <v>Continental</v>
      </c>
      <c r="G71" s="39">
        <f>'Rest Runsheet Food'!I29</f>
        <v>0</v>
      </c>
      <c r="H71" s="4"/>
      <c r="I71" s="21"/>
    </row>
    <row r="72" spans="1:9" x14ac:dyDescent="0.3">
      <c r="A72" s="212"/>
      <c r="B72" s="213"/>
      <c r="C72" s="215"/>
      <c r="D72" s="345"/>
      <c r="E72" s="30" t="s">
        <v>9</v>
      </c>
      <c r="F72" s="39" t="str">
        <f>'Rest Runsheet Food'!H30</f>
        <v>N/A</v>
      </c>
      <c r="G72" s="39">
        <f>'Rest Runsheet Food'!I30</f>
        <v>0</v>
      </c>
      <c r="H72" s="4"/>
      <c r="I72" s="21"/>
    </row>
    <row r="73" spans="1:9" x14ac:dyDescent="0.3">
      <c r="C73" s="218"/>
      <c r="D73" s="346"/>
      <c r="E73" s="34" t="s">
        <v>1</v>
      </c>
      <c r="F73" s="39" t="str">
        <f>'Rest Runsheet Food'!H31</f>
        <v>N/A</v>
      </c>
      <c r="G73" s="39">
        <f>'Rest Runsheet Food'!I31</f>
        <v>0</v>
      </c>
      <c r="H73" s="4"/>
      <c r="I73" s="21"/>
    </row>
    <row r="74" spans="1:9" x14ac:dyDescent="0.3">
      <c r="C74" s="218"/>
      <c r="D74" s="19"/>
      <c r="E74" s="4"/>
      <c r="F74" s="4"/>
      <c r="G74" s="4"/>
      <c r="H74" s="4"/>
      <c r="I74" s="21"/>
    </row>
    <row r="75" spans="1:9" x14ac:dyDescent="0.3">
      <c r="C75" s="218"/>
      <c r="D75" s="19"/>
      <c r="E75" s="4"/>
      <c r="F75" s="37" t="s">
        <v>76</v>
      </c>
      <c r="G75" s="38" t="s">
        <v>77</v>
      </c>
      <c r="H75" s="4"/>
      <c r="I75" s="21"/>
    </row>
    <row r="76" spans="1:9" x14ac:dyDescent="0.3">
      <c r="C76" s="218"/>
      <c r="D76" s="349" t="s">
        <v>126</v>
      </c>
      <c r="E76" s="33" t="s">
        <v>11</v>
      </c>
      <c r="F76" s="39" t="str">
        <f>'Rest Runsheet Food'!H38</f>
        <v>Continental</v>
      </c>
      <c r="G76" s="39">
        <f>'Rest Runsheet Food'!I38</f>
        <v>0</v>
      </c>
      <c r="H76" s="4"/>
      <c r="I76" s="21"/>
    </row>
    <row r="77" spans="1:9" ht="19.8" customHeight="1" x14ac:dyDescent="0.3">
      <c r="C77" s="218"/>
      <c r="D77" s="350"/>
      <c r="E77" s="30" t="s">
        <v>9</v>
      </c>
      <c r="F77" s="39" t="str">
        <f>'Rest Runsheet Food'!H39</f>
        <v>N/A</v>
      </c>
      <c r="G77" s="39">
        <f>'Rest Runsheet Food'!I39</f>
        <v>0</v>
      </c>
      <c r="H77" s="4"/>
      <c r="I77" s="21"/>
    </row>
    <row r="78" spans="1:9" x14ac:dyDescent="0.3">
      <c r="C78" s="218"/>
      <c r="D78" s="357"/>
      <c r="E78" s="34" t="s">
        <v>1</v>
      </c>
      <c r="F78" s="39" t="str">
        <f>'Rest Runsheet Food'!H40</f>
        <v>N/A</v>
      </c>
      <c r="G78" s="39">
        <f>'Rest Runsheet Food'!I40</f>
        <v>0</v>
      </c>
      <c r="H78" s="4"/>
      <c r="I78" s="21"/>
    </row>
    <row r="79" spans="1:9" x14ac:dyDescent="0.3">
      <c r="C79" s="218"/>
      <c r="D79" s="37"/>
      <c r="E79" s="30"/>
      <c r="F79" s="4"/>
      <c r="G79" s="4"/>
      <c r="H79" s="4"/>
      <c r="I79" s="21"/>
    </row>
    <row r="80" spans="1:9" x14ac:dyDescent="0.3">
      <c r="C80" s="218"/>
      <c r="D80" s="19"/>
      <c r="E80" s="4"/>
      <c r="F80" s="37" t="s">
        <v>76</v>
      </c>
      <c r="G80" s="38" t="s">
        <v>77</v>
      </c>
      <c r="H80" s="4"/>
      <c r="I80" s="21"/>
    </row>
    <row r="81" spans="3:9" x14ac:dyDescent="0.3">
      <c r="C81" s="218"/>
      <c r="D81" s="358" t="s">
        <v>128</v>
      </c>
      <c r="E81" s="33" t="s">
        <v>11</v>
      </c>
      <c r="F81" s="39" t="str">
        <f>'Rest Runsheet Food'!H47</f>
        <v>Continental</v>
      </c>
      <c r="G81" s="39">
        <f>'Rest Runsheet Food'!I47</f>
        <v>0</v>
      </c>
      <c r="H81" s="4"/>
      <c r="I81" s="21"/>
    </row>
    <row r="82" spans="3:9" x14ac:dyDescent="0.3">
      <c r="C82" s="218"/>
      <c r="D82" s="347"/>
      <c r="E82" s="30" t="s">
        <v>9</v>
      </c>
      <c r="F82" s="39" t="str">
        <f>'Rest Runsheet Food'!H48</f>
        <v>N/A</v>
      </c>
      <c r="G82" s="39">
        <f>'Rest Runsheet Food'!I48</f>
        <v>0</v>
      </c>
      <c r="H82" s="4"/>
      <c r="I82" s="21"/>
    </row>
    <row r="83" spans="3:9" x14ac:dyDescent="0.3">
      <c r="C83" s="218"/>
      <c r="D83" s="348"/>
      <c r="E83" s="34" t="s">
        <v>1</v>
      </c>
      <c r="F83" s="39" t="str">
        <f>'Rest Runsheet Food'!H49</f>
        <v>N/A</v>
      </c>
      <c r="G83" s="39">
        <f>'Rest Runsheet Food'!I49</f>
        <v>0</v>
      </c>
      <c r="H83" s="4"/>
      <c r="I83" s="21"/>
    </row>
    <row r="84" spans="3:9" x14ac:dyDescent="0.3">
      <c r="C84" s="218"/>
      <c r="D84" s="37"/>
      <c r="E84" s="30"/>
      <c r="F84" s="4"/>
      <c r="G84" s="4"/>
      <c r="H84" s="4"/>
      <c r="I84" s="21"/>
    </row>
    <row r="85" spans="3:9" x14ac:dyDescent="0.3">
      <c r="C85" s="218"/>
      <c r="D85" s="19"/>
      <c r="E85" s="4"/>
      <c r="F85" s="37" t="s">
        <v>76</v>
      </c>
      <c r="G85" s="38" t="s">
        <v>77</v>
      </c>
      <c r="H85" s="4"/>
      <c r="I85" s="21"/>
    </row>
    <row r="86" spans="3:9" x14ac:dyDescent="0.3">
      <c r="C86" s="218"/>
      <c r="D86" s="335" t="s">
        <v>135</v>
      </c>
      <c r="E86" s="33" t="s">
        <v>11</v>
      </c>
      <c r="F86" s="39" t="str">
        <f>'Rest Runsheet Food'!H57</f>
        <v>Continental</v>
      </c>
      <c r="G86" s="39">
        <f>'Rest Runsheet Food'!I57</f>
        <v>0</v>
      </c>
      <c r="H86" s="4"/>
      <c r="I86" s="21"/>
    </row>
    <row r="87" spans="3:9" x14ac:dyDescent="0.3">
      <c r="C87" s="218"/>
      <c r="D87" s="336"/>
      <c r="E87" s="30" t="s">
        <v>9</v>
      </c>
      <c r="F87" s="39" t="str">
        <f>'Rest Runsheet Food'!H58</f>
        <v>N/A</v>
      </c>
      <c r="G87" s="39">
        <f>'Rest Runsheet Food'!I58</f>
        <v>0</v>
      </c>
      <c r="H87" s="4"/>
      <c r="I87" s="21"/>
    </row>
    <row r="88" spans="3:9" x14ac:dyDescent="0.3">
      <c r="C88" s="218"/>
      <c r="D88" s="337"/>
      <c r="E88" s="34" t="s">
        <v>1</v>
      </c>
      <c r="F88" s="39" t="str">
        <f>'Rest Runsheet Food'!H59</f>
        <v>N/A</v>
      </c>
      <c r="G88" s="39">
        <f>'Rest Runsheet Food'!I59</f>
        <v>0</v>
      </c>
      <c r="H88" s="4"/>
      <c r="I88" s="21"/>
    </row>
    <row r="89" spans="3:9" x14ac:dyDescent="0.3">
      <c r="C89" s="218"/>
      <c r="D89" s="19"/>
      <c r="E89" s="4"/>
      <c r="F89" s="4"/>
      <c r="G89" s="4"/>
      <c r="H89" s="4"/>
      <c r="I89" s="21"/>
    </row>
    <row r="90" spans="3:9" ht="16.2" thickBot="1" x14ac:dyDescent="0.35">
      <c r="C90" s="218"/>
      <c r="D90" s="133"/>
      <c r="E90" s="22"/>
      <c r="F90" s="22"/>
      <c r="G90" s="22"/>
      <c r="H90" s="22"/>
      <c r="I90" s="23"/>
    </row>
    <row r="91" spans="3:9" x14ac:dyDescent="0.3">
      <c r="C91" s="218"/>
    </row>
    <row r="92" spans="3:9" x14ac:dyDescent="0.3">
      <c r="C92" s="218"/>
    </row>
    <row r="93" spans="3:9" x14ac:dyDescent="0.3">
      <c r="C93" s="218"/>
    </row>
    <row r="94" spans="3:9" x14ac:dyDescent="0.3">
      <c r="C94" s="218"/>
    </row>
    <row r="95" spans="3:9" x14ac:dyDescent="0.3">
      <c r="C95" s="218"/>
    </row>
    <row r="96" spans="3:9" x14ac:dyDescent="0.3">
      <c r="C96" s="218"/>
    </row>
    <row r="97" spans="3:3" x14ac:dyDescent="0.3">
      <c r="C97" s="218"/>
    </row>
    <row r="98" spans="3:3" x14ac:dyDescent="0.3">
      <c r="C98" s="218"/>
    </row>
    <row r="99" spans="3:3" x14ac:dyDescent="0.3">
      <c r="C99" s="218"/>
    </row>
    <row r="100" spans="3:3" x14ac:dyDescent="0.3">
      <c r="C100" s="218"/>
    </row>
    <row r="101" spans="3:3" x14ac:dyDescent="0.3">
      <c r="C101" s="218"/>
    </row>
    <row r="102" spans="3:3" x14ac:dyDescent="0.3">
      <c r="C102" s="218"/>
    </row>
    <row r="103" spans="3:3" x14ac:dyDescent="0.3">
      <c r="C103" s="218"/>
    </row>
    <row r="104" spans="3:3" x14ac:dyDescent="0.3">
      <c r="C104" s="218"/>
    </row>
    <row r="105" spans="3:3" x14ac:dyDescent="0.3">
      <c r="C105" s="218"/>
    </row>
    <row r="106" spans="3:3" x14ac:dyDescent="0.3">
      <c r="C106" s="218"/>
    </row>
    <row r="107" spans="3:3" x14ac:dyDescent="0.3">
      <c r="C107" s="218"/>
    </row>
    <row r="108" spans="3:3" x14ac:dyDescent="0.3">
      <c r="C108" s="218"/>
    </row>
    <row r="109" spans="3:3" x14ac:dyDescent="0.3">
      <c r="C109" s="218"/>
    </row>
    <row r="110" spans="3:3" x14ac:dyDescent="0.3">
      <c r="C110" s="218"/>
    </row>
    <row r="111" spans="3:3" x14ac:dyDescent="0.3">
      <c r="C111" s="218"/>
    </row>
    <row r="112" spans="3:3" x14ac:dyDescent="0.3">
      <c r="C112" s="218"/>
    </row>
    <row r="113" spans="3:3" x14ac:dyDescent="0.3">
      <c r="C113" s="218"/>
    </row>
    <row r="114" spans="3:3" x14ac:dyDescent="0.3">
      <c r="C114" s="218"/>
    </row>
    <row r="115" spans="3:3" x14ac:dyDescent="0.3">
      <c r="C115" s="218"/>
    </row>
    <row r="116" spans="3:3" x14ac:dyDescent="0.3">
      <c r="C116" s="218"/>
    </row>
    <row r="117" spans="3:3" x14ac:dyDescent="0.3">
      <c r="C117" s="218"/>
    </row>
    <row r="118" spans="3:3" x14ac:dyDescent="0.3">
      <c r="C118" s="218"/>
    </row>
    <row r="119" spans="3:3" x14ac:dyDescent="0.3">
      <c r="C119" s="218"/>
    </row>
    <row r="120" spans="3:3" x14ac:dyDescent="0.3">
      <c r="C120" s="218"/>
    </row>
    <row r="121" spans="3:3" x14ac:dyDescent="0.3">
      <c r="C121" s="218"/>
    </row>
    <row r="122" spans="3:3" x14ac:dyDescent="0.3">
      <c r="C122" s="218"/>
    </row>
    <row r="123" spans="3:3" x14ac:dyDescent="0.3">
      <c r="C123" s="218"/>
    </row>
    <row r="124" spans="3:3" x14ac:dyDescent="0.3">
      <c r="C124" s="218"/>
    </row>
    <row r="125" spans="3:3" x14ac:dyDescent="0.3">
      <c r="C125" s="218"/>
    </row>
    <row r="126" spans="3:3" x14ac:dyDescent="0.3">
      <c r="C126" s="218"/>
    </row>
    <row r="127" spans="3:3" x14ac:dyDescent="0.3">
      <c r="C127" s="218"/>
    </row>
    <row r="128" spans="3:3" x14ac:dyDescent="0.3">
      <c r="C128" s="218"/>
    </row>
    <row r="129" spans="3:3" x14ac:dyDescent="0.3">
      <c r="C129" s="218"/>
    </row>
    <row r="130" spans="3:3" x14ac:dyDescent="0.3">
      <c r="C130" s="218"/>
    </row>
    <row r="131" spans="3:3" x14ac:dyDescent="0.3">
      <c r="C131" s="218"/>
    </row>
    <row r="132" spans="3:3" x14ac:dyDescent="0.3">
      <c r="C132" s="218"/>
    </row>
    <row r="133" spans="3:3" x14ac:dyDescent="0.3">
      <c r="C133" s="218"/>
    </row>
    <row r="134" spans="3:3" x14ac:dyDescent="0.3">
      <c r="C134" s="218"/>
    </row>
    <row r="135" spans="3:3" x14ac:dyDescent="0.3">
      <c r="C135" s="218"/>
    </row>
    <row r="136" spans="3:3" x14ac:dyDescent="0.3">
      <c r="C136" s="218"/>
    </row>
    <row r="137" spans="3:3" x14ac:dyDescent="0.3">
      <c r="C137" s="218"/>
    </row>
    <row r="138" spans="3:3" x14ac:dyDescent="0.3">
      <c r="C138" s="218"/>
    </row>
    <row r="139" spans="3:3" x14ac:dyDescent="0.3">
      <c r="C139" s="218"/>
    </row>
    <row r="140" spans="3:3" x14ac:dyDescent="0.3">
      <c r="C140" s="218"/>
    </row>
    <row r="141" spans="3:3" x14ac:dyDescent="0.3">
      <c r="C141" s="218"/>
    </row>
    <row r="142" spans="3:3" x14ac:dyDescent="0.3">
      <c r="C142" s="218"/>
    </row>
    <row r="143" spans="3:3" x14ac:dyDescent="0.3">
      <c r="C143" s="218"/>
    </row>
    <row r="144" spans="3:3" x14ac:dyDescent="0.3">
      <c r="C144" s="218"/>
    </row>
    <row r="145" spans="3:3" x14ac:dyDescent="0.3">
      <c r="C145" s="218"/>
    </row>
    <row r="146" spans="3:3" x14ac:dyDescent="0.3">
      <c r="C146" s="218"/>
    </row>
    <row r="147" spans="3:3" x14ac:dyDescent="0.3">
      <c r="C147" s="218"/>
    </row>
    <row r="148" spans="3:3" x14ac:dyDescent="0.3">
      <c r="C148" s="218"/>
    </row>
    <row r="149" spans="3:3" x14ac:dyDescent="0.3">
      <c r="C149" s="218"/>
    </row>
    <row r="150" spans="3:3" x14ac:dyDescent="0.3">
      <c r="C150" s="218"/>
    </row>
    <row r="151" spans="3:3" x14ac:dyDescent="0.3">
      <c r="C151" s="218"/>
    </row>
    <row r="152" spans="3:3" x14ac:dyDescent="0.3">
      <c r="C152" s="218"/>
    </row>
    <row r="153" spans="3:3" x14ac:dyDescent="0.3">
      <c r="C153" s="218"/>
    </row>
    <row r="154" spans="3:3" x14ac:dyDescent="0.3">
      <c r="C154" s="218"/>
    </row>
    <row r="155" spans="3:3" x14ac:dyDescent="0.3">
      <c r="C155" s="218"/>
    </row>
    <row r="156" spans="3:3" x14ac:dyDescent="0.3">
      <c r="C156" s="218"/>
    </row>
    <row r="157" spans="3:3" x14ac:dyDescent="0.3">
      <c r="C157" s="218"/>
    </row>
    <row r="158" spans="3:3" x14ac:dyDescent="0.3">
      <c r="C158" s="218"/>
    </row>
    <row r="159" spans="3:3" x14ac:dyDescent="0.3">
      <c r="C159" s="218"/>
    </row>
    <row r="160" spans="3:3" x14ac:dyDescent="0.3">
      <c r="C160" s="218"/>
    </row>
    <row r="161" spans="3:3" x14ac:dyDescent="0.3">
      <c r="C161" s="218"/>
    </row>
    <row r="162" spans="3:3" x14ac:dyDescent="0.3">
      <c r="C162" s="218"/>
    </row>
    <row r="163" spans="3:3" x14ac:dyDescent="0.3">
      <c r="C163" s="218"/>
    </row>
    <row r="164" spans="3:3" x14ac:dyDescent="0.3">
      <c r="C164" s="218"/>
    </row>
    <row r="165" spans="3:3" x14ac:dyDescent="0.3">
      <c r="C165" s="218"/>
    </row>
    <row r="166" spans="3:3" x14ac:dyDescent="0.3">
      <c r="C166" s="218"/>
    </row>
    <row r="167" spans="3:3" x14ac:dyDescent="0.3">
      <c r="C167" s="218"/>
    </row>
    <row r="168" spans="3:3" x14ac:dyDescent="0.3">
      <c r="C168" s="218"/>
    </row>
    <row r="169" spans="3:3" x14ac:dyDescent="0.3">
      <c r="C169" s="218"/>
    </row>
    <row r="170" spans="3:3" x14ac:dyDescent="0.3">
      <c r="C170" s="218"/>
    </row>
    <row r="171" spans="3:3" x14ac:dyDescent="0.3">
      <c r="C171" s="218"/>
    </row>
    <row r="172" spans="3:3" x14ac:dyDescent="0.3">
      <c r="C172" s="218"/>
    </row>
    <row r="173" spans="3:3" x14ac:dyDescent="0.3">
      <c r="C173" s="218"/>
    </row>
    <row r="174" spans="3:3" x14ac:dyDescent="0.3">
      <c r="C174" s="218"/>
    </row>
    <row r="175" spans="3:3" x14ac:dyDescent="0.3">
      <c r="C175" s="218"/>
    </row>
    <row r="176" spans="3:3" x14ac:dyDescent="0.3">
      <c r="C176" s="218"/>
    </row>
    <row r="177" spans="3:3" x14ac:dyDescent="0.3">
      <c r="C177" s="218"/>
    </row>
    <row r="178" spans="3:3" x14ac:dyDescent="0.3">
      <c r="C178" s="218"/>
    </row>
    <row r="179" spans="3:3" x14ac:dyDescent="0.3">
      <c r="C179" s="218"/>
    </row>
    <row r="180" spans="3:3" x14ac:dyDescent="0.3">
      <c r="C180" s="218"/>
    </row>
    <row r="181" spans="3:3" x14ac:dyDescent="0.3">
      <c r="C181" s="218"/>
    </row>
    <row r="182" spans="3:3" x14ac:dyDescent="0.3">
      <c r="C182" s="218"/>
    </row>
    <row r="183" spans="3:3" x14ac:dyDescent="0.3">
      <c r="C183" s="218"/>
    </row>
    <row r="184" spans="3:3" x14ac:dyDescent="0.3">
      <c r="C184" s="218"/>
    </row>
    <row r="185" spans="3:3" x14ac:dyDescent="0.3">
      <c r="C185" s="218"/>
    </row>
    <row r="186" spans="3:3" x14ac:dyDescent="0.3">
      <c r="C186" s="218"/>
    </row>
    <row r="187" spans="3:3" x14ac:dyDescent="0.3">
      <c r="C187" s="218"/>
    </row>
    <row r="188" spans="3:3" x14ac:dyDescent="0.3">
      <c r="C188" s="218"/>
    </row>
    <row r="189" spans="3:3" x14ac:dyDescent="0.3">
      <c r="C189" s="218"/>
    </row>
    <row r="190" spans="3:3" x14ac:dyDescent="0.3">
      <c r="C190" s="218"/>
    </row>
    <row r="191" spans="3:3" x14ac:dyDescent="0.3">
      <c r="C191" s="218"/>
    </row>
    <row r="192" spans="3:3" x14ac:dyDescent="0.3">
      <c r="C192" s="218"/>
    </row>
    <row r="193" spans="3:3" x14ac:dyDescent="0.3">
      <c r="C193" s="218"/>
    </row>
    <row r="194" spans="3:3" x14ac:dyDescent="0.3">
      <c r="C194" s="218"/>
    </row>
    <row r="195" spans="3:3" x14ac:dyDescent="0.3">
      <c r="C195" s="218"/>
    </row>
    <row r="196" spans="3:3" x14ac:dyDescent="0.3">
      <c r="C196" s="218"/>
    </row>
    <row r="197" spans="3:3" x14ac:dyDescent="0.3">
      <c r="C197" s="218"/>
    </row>
    <row r="198" spans="3:3" x14ac:dyDescent="0.3">
      <c r="C198" s="218"/>
    </row>
    <row r="199" spans="3:3" x14ac:dyDescent="0.3">
      <c r="C199" s="218"/>
    </row>
    <row r="200" spans="3:3" x14ac:dyDescent="0.3">
      <c r="C200" s="218"/>
    </row>
    <row r="201" spans="3:3" x14ac:dyDescent="0.3">
      <c r="C201" s="218"/>
    </row>
    <row r="202" spans="3:3" x14ac:dyDescent="0.3">
      <c r="C202" s="218"/>
    </row>
    <row r="203" spans="3:3" x14ac:dyDescent="0.3">
      <c r="C203" s="218"/>
    </row>
    <row r="204" spans="3:3" x14ac:dyDescent="0.3">
      <c r="C204" s="218"/>
    </row>
    <row r="205" spans="3:3" x14ac:dyDescent="0.3">
      <c r="C205" s="218"/>
    </row>
    <row r="206" spans="3:3" x14ac:dyDescent="0.3">
      <c r="C206" s="218"/>
    </row>
    <row r="207" spans="3:3" x14ac:dyDescent="0.3">
      <c r="C207" s="218"/>
    </row>
    <row r="208" spans="3:3" x14ac:dyDescent="0.3">
      <c r="C208" s="218"/>
    </row>
    <row r="209" spans="3:3" x14ac:dyDescent="0.3">
      <c r="C209" s="218"/>
    </row>
    <row r="210" spans="3:3" x14ac:dyDescent="0.3">
      <c r="C210" s="218"/>
    </row>
    <row r="211" spans="3:3" x14ac:dyDescent="0.3">
      <c r="C211" s="218"/>
    </row>
    <row r="212" spans="3:3" x14ac:dyDescent="0.3">
      <c r="C212" s="218"/>
    </row>
    <row r="213" spans="3:3" x14ac:dyDescent="0.3">
      <c r="C213" s="218"/>
    </row>
    <row r="214" spans="3:3" x14ac:dyDescent="0.3">
      <c r="C214" s="218"/>
    </row>
    <row r="215" spans="3:3" x14ac:dyDescent="0.3">
      <c r="C215" s="218"/>
    </row>
    <row r="216" spans="3:3" x14ac:dyDescent="0.3">
      <c r="C216" s="218"/>
    </row>
    <row r="217" spans="3:3" x14ac:dyDescent="0.3">
      <c r="C217" s="218"/>
    </row>
    <row r="218" spans="3:3" x14ac:dyDescent="0.3">
      <c r="C218" s="218"/>
    </row>
    <row r="219" spans="3:3" x14ac:dyDescent="0.3">
      <c r="C219" s="218"/>
    </row>
    <row r="220" spans="3:3" x14ac:dyDescent="0.3">
      <c r="C220" s="218"/>
    </row>
    <row r="221" spans="3:3" x14ac:dyDescent="0.3">
      <c r="C221" s="218"/>
    </row>
    <row r="222" spans="3:3" x14ac:dyDescent="0.3">
      <c r="C222" s="218"/>
    </row>
    <row r="223" spans="3:3" x14ac:dyDescent="0.3">
      <c r="C223" s="218"/>
    </row>
    <row r="224" spans="3:3" x14ac:dyDescent="0.3">
      <c r="C224" s="218"/>
    </row>
    <row r="225" spans="3:3" x14ac:dyDescent="0.3">
      <c r="C225" s="218"/>
    </row>
    <row r="226" spans="3:3" x14ac:dyDescent="0.3">
      <c r="C226" s="218"/>
    </row>
    <row r="227" spans="3:3" x14ac:dyDescent="0.3">
      <c r="C227" s="218"/>
    </row>
    <row r="228" spans="3:3" x14ac:dyDescent="0.3">
      <c r="C228" s="218"/>
    </row>
    <row r="229" spans="3:3" x14ac:dyDescent="0.3">
      <c r="C229" s="218"/>
    </row>
    <row r="230" spans="3:3" x14ac:dyDescent="0.3">
      <c r="C230" s="218"/>
    </row>
    <row r="231" spans="3:3" x14ac:dyDescent="0.3">
      <c r="C231" s="218"/>
    </row>
    <row r="232" spans="3:3" x14ac:dyDescent="0.3">
      <c r="C232" s="218"/>
    </row>
    <row r="233" spans="3:3" x14ac:dyDescent="0.3">
      <c r="C233" s="218"/>
    </row>
    <row r="234" spans="3:3" x14ac:dyDescent="0.3">
      <c r="C234" s="218"/>
    </row>
    <row r="235" spans="3:3" x14ac:dyDescent="0.3">
      <c r="C235" s="218"/>
    </row>
    <row r="236" spans="3:3" x14ac:dyDescent="0.3">
      <c r="C236" s="218"/>
    </row>
    <row r="237" spans="3:3" x14ac:dyDescent="0.3">
      <c r="C237" s="218"/>
    </row>
    <row r="238" spans="3:3" x14ac:dyDescent="0.3">
      <c r="C238" s="218"/>
    </row>
    <row r="239" spans="3:3" x14ac:dyDescent="0.3">
      <c r="C239" s="218"/>
    </row>
    <row r="240" spans="3:3" x14ac:dyDescent="0.3">
      <c r="C240" s="218"/>
    </row>
    <row r="241" spans="3:3" x14ac:dyDescent="0.3">
      <c r="C241" s="218"/>
    </row>
    <row r="242" spans="3:3" x14ac:dyDescent="0.3">
      <c r="C242" s="218"/>
    </row>
    <row r="243" spans="3:3" x14ac:dyDescent="0.3">
      <c r="C243" s="218"/>
    </row>
    <row r="244" spans="3:3" x14ac:dyDescent="0.3">
      <c r="C244" s="218"/>
    </row>
    <row r="245" spans="3:3" x14ac:dyDescent="0.3">
      <c r="C245" s="218"/>
    </row>
    <row r="246" spans="3:3" x14ac:dyDescent="0.3">
      <c r="C246" s="218"/>
    </row>
    <row r="247" spans="3:3" x14ac:dyDescent="0.3">
      <c r="C247" s="218"/>
    </row>
    <row r="248" spans="3:3" x14ac:dyDescent="0.3">
      <c r="C248" s="218"/>
    </row>
    <row r="249" spans="3:3" x14ac:dyDescent="0.3">
      <c r="C249" s="218"/>
    </row>
    <row r="250" spans="3:3" x14ac:dyDescent="0.3">
      <c r="C250" s="218"/>
    </row>
    <row r="251" spans="3:3" x14ac:dyDescent="0.3">
      <c r="C251" s="218"/>
    </row>
    <row r="252" spans="3:3" x14ac:dyDescent="0.3">
      <c r="C252" s="218"/>
    </row>
    <row r="253" spans="3:3" x14ac:dyDescent="0.3">
      <c r="C253" s="218"/>
    </row>
    <row r="254" spans="3:3" x14ac:dyDescent="0.3">
      <c r="C254" s="218"/>
    </row>
    <row r="255" spans="3:3" x14ac:dyDescent="0.3">
      <c r="C255" s="218"/>
    </row>
    <row r="256" spans="3:3" x14ac:dyDescent="0.3">
      <c r="C256" s="218"/>
    </row>
    <row r="257" spans="3:3" x14ac:dyDescent="0.3">
      <c r="C257" s="218"/>
    </row>
    <row r="258" spans="3:3" x14ac:dyDescent="0.3">
      <c r="C258" s="218"/>
    </row>
    <row r="259" spans="3:3" x14ac:dyDescent="0.3">
      <c r="C259" s="218"/>
    </row>
  </sheetData>
  <mergeCells count="47">
    <mergeCell ref="E1:G1"/>
    <mergeCell ref="E2:G2"/>
    <mergeCell ref="D18:I18"/>
    <mergeCell ref="D4:I4"/>
    <mergeCell ref="D26:I26"/>
    <mergeCell ref="D48:D49"/>
    <mergeCell ref="E48:I49"/>
    <mergeCell ref="D28:D29"/>
    <mergeCell ref="D30:D31"/>
    <mergeCell ref="D32:D33"/>
    <mergeCell ref="D34:D35"/>
    <mergeCell ref="D36:D37"/>
    <mergeCell ref="D38:D39"/>
    <mergeCell ref="D42:I42"/>
    <mergeCell ref="D44:D45"/>
    <mergeCell ref="E44:I45"/>
    <mergeCell ref="D46:D47"/>
    <mergeCell ref="E46:I47"/>
    <mergeCell ref="D40:D41"/>
    <mergeCell ref="D51:I51"/>
    <mergeCell ref="D52:I53"/>
    <mergeCell ref="D60:I60"/>
    <mergeCell ref="D61:D63"/>
    <mergeCell ref="D66:D68"/>
    <mergeCell ref="D56:I56"/>
    <mergeCell ref="D86:D88"/>
    <mergeCell ref="D54:I55"/>
    <mergeCell ref="D71:D73"/>
    <mergeCell ref="D76:D78"/>
    <mergeCell ref="D81:D83"/>
    <mergeCell ref="B2:B3"/>
    <mergeCell ref="B5:B6"/>
    <mergeCell ref="B8:B9"/>
    <mergeCell ref="B11:B12"/>
    <mergeCell ref="B14:B15"/>
    <mergeCell ref="B47:B48"/>
    <mergeCell ref="B50:B51"/>
    <mergeCell ref="B17:B18"/>
    <mergeCell ref="B20:B21"/>
    <mergeCell ref="B23:B24"/>
    <mergeCell ref="B26:B27"/>
    <mergeCell ref="B29:B30"/>
    <mergeCell ref="B32:B33"/>
    <mergeCell ref="B35:B36"/>
    <mergeCell ref="B38:B39"/>
    <mergeCell ref="B41:B42"/>
    <mergeCell ref="B44:B45"/>
  </mergeCells>
  <hyperlinks>
    <hyperlink ref="B2" location="Panel!C4" display="HOME" xr:uid="{0241D54E-A783-4BA5-890D-D726A71CE248}"/>
    <hyperlink ref="B5" location="Panel!C4" display="HOME" xr:uid="{8AEB5414-5CCA-4E02-B37F-1C9A6EE47E6D}"/>
    <hyperlink ref="B17" location="Panel!C4" display="HOME" xr:uid="{4A0F055A-DF0F-4B5B-81FC-B3198BBDF0B5}"/>
    <hyperlink ref="B20" location="Panel!C4" display="HOME" xr:uid="{A5C8C0A0-41C6-4F41-B37A-859C470A3E4C}"/>
    <hyperlink ref="B23" location="Panel!C4" display="HOME" xr:uid="{2AD9FCB3-9F08-4058-AEEA-DB6A43ED5FDD}"/>
    <hyperlink ref="B5:B6" location="data_formula_legend!A1" display="DATA" xr:uid="{A609BFAC-54B0-4F71-8328-FEB4A84A4D0E}"/>
    <hyperlink ref="B17:B18" location="day_1!A1" display="DAY 1" xr:uid="{AFE850A2-2CE9-46F9-A080-519383609827}"/>
    <hyperlink ref="B8" location="Panel!C4" display="HOME" xr:uid="{F61758A8-2857-4008-B018-DCBB2527FAE8}"/>
    <hyperlink ref="B8:B9" location="Runsheet!A1" display="RUNSHEET" xr:uid="{0CEB446A-4A26-410F-8E22-58DEC3CEE268}"/>
    <hyperlink ref="B20:B21" location="day_2!A1" display="DAY 2" xr:uid="{DBA56D65-90A0-4826-999C-5EA56B03E8C7}"/>
    <hyperlink ref="B23:B24" location="day_3!A1" display="DAY 3" xr:uid="{4052B664-EE23-41C7-894B-A62BE2EB9B05}"/>
    <hyperlink ref="B2:B3" location="HOME!A1" display="HOME" xr:uid="{6D5CFEF2-183F-4CFA-ABDB-2E911A3DD1FE}"/>
    <hyperlink ref="B26" location="Panel!C4" display="HOME" xr:uid="{33F67E1A-9981-4DDD-B089-03568BA84A59}"/>
    <hyperlink ref="B26:B27" location="day_5!A1" display="DAY 4" xr:uid="{1B3E74D4-B936-48F8-8794-79007BF5D368}"/>
    <hyperlink ref="B29" location="Panel!C4" display="HOME" xr:uid="{F13AD90B-FAF0-4D82-9A2F-C78BE09E9F74}"/>
    <hyperlink ref="B29:B30" location="day_5!A1" display="DAY 5" xr:uid="{701C878C-9794-4143-8AD5-E67B4A85A75B}"/>
    <hyperlink ref="B32" location="Panel!C4" display="HOME" xr:uid="{690D3806-2411-444C-9C08-5CBDAD7727C0}"/>
    <hyperlink ref="B32:B33" location="day_6!A1" display="DAY 6" xr:uid="{46028048-6A8C-47D2-B28C-3CDCFDF90338}"/>
    <hyperlink ref="B14:B15" location="'Food Serves'!A1" display="FOOD SERVES" xr:uid="{2A801E82-6CE6-4173-828F-45622EB8B6F6}"/>
    <hyperlink ref="B11:B12" location="'Rest Runsheet Food'!A1" display="RESTAURANT RUNSHEET" xr:uid="{D12C16C1-E0CD-48EB-B9C2-76A660881D9D}"/>
    <hyperlink ref="B14" location="Panel!C4" display="HOME" xr:uid="{44302797-236C-4274-8445-EBD723A27209}"/>
    <hyperlink ref="B11" location="Panel!C4" display="HOME" xr:uid="{5B060CA5-54EE-46DB-B4BB-DDADA5978D3F}"/>
    <hyperlink ref="B35" location="Panel!C4" display="HOME" xr:uid="{D0997AE6-21D3-4154-B662-E045DA38392A}"/>
    <hyperlink ref="B35:B36" location="day_7!A1" display="DAY 7" xr:uid="{A063F8CA-3687-41FF-90D8-E3856BC0F2E5}"/>
    <hyperlink ref="B38" location="Panel!C4" display="HOME" xr:uid="{81366346-51A5-4D0C-928E-EBE329CE1064}"/>
    <hyperlink ref="B38:B39" location="day_8!A1" display="DAY 8" xr:uid="{A4C369BE-4207-43F5-A6DB-0CD0A4C7A255}"/>
    <hyperlink ref="B41" location="Panel!C4" display="HOME" xr:uid="{D4C812E2-28EC-462C-984D-112733178B09}"/>
    <hyperlink ref="B41:B42" location="day_9!A1" display="DAY 9" xr:uid="{D440B9E5-EC60-4C04-A2B7-D818555BBCE8}"/>
    <hyperlink ref="B44" location="Panel!C4" display="HOME" xr:uid="{4866CE91-9D29-4A9A-9866-C705344E281E}"/>
    <hyperlink ref="B44:B45" location="day_10!A1" display="DAY 10" xr:uid="{BE9220DB-7F27-42E1-A322-7FE81604C9ED}"/>
    <hyperlink ref="B47" location="Panel!C4" display="HOME" xr:uid="{555921D5-5CA0-42D5-8B63-A1BE6FBA9887}"/>
    <hyperlink ref="B47:B48" location="day_11!A1" display="DAY 11" xr:uid="{AAFD6040-3AE4-466A-A95C-7B77BE3CE25A}"/>
    <hyperlink ref="B50" location="Panel!C4" display="HOME" xr:uid="{6F34690B-8AB0-4265-9D50-3C98D4009002}"/>
    <hyperlink ref="B50:B51" location="day_12!A1" display="DAY 12" xr:uid="{56391019-4096-44D2-BBCD-8A09797968FD}"/>
  </hyperlinks>
  <pageMargins left="0.23622047244094491" right="0.23622047244094491" top="0.15748031496062992" bottom="0.74803149606299213" header="0.31496062992125984" footer="0.31496062992125984"/>
  <pageSetup paperSize="9" scale="54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E65BB-1429-4662-9CD9-6A3A4F87464C}">
  <sheetPr codeName="Sheet11">
    <pageSetUpPr fitToPage="1"/>
  </sheetPr>
  <dimension ref="A1:I259"/>
  <sheetViews>
    <sheetView topLeftCell="A15" workbookViewId="0">
      <selection activeCell="B11" sqref="B11:B12"/>
    </sheetView>
  </sheetViews>
  <sheetFormatPr defaultRowHeight="15.6" x14ac:dyDescent="0.3"/>
  <cols>
    <col min="1" max="1" width="1.77734375" style="216" customWidth="1"/>
    <col min="2" max="2" width="15.77734375" style="217" customWidth="1"/>
    <col min="3" max="3" width="1.77734375" style="216" customWidth="1"/>
    <col min="4" max="4" width="43.77734375" bestFit="1" customWidth="1"/>
    <col min="5" max="5" width="22.6640625" bestFit="1" customWidth="1"/>
    <col min="6" max="6" width="40.44140625" bestFit="1" customWidth="1"/>
    <col min="7" max="7" width="23.109375" bestFit="1" customWidth="1"/>
    <col min="8" max="8" width="27.21875" bestFit="1" customWidth="1"/>
    <col min="9" max="9" width="13.6640625" bestFit="1" customWidth="1"/>
  </cols>
  <sheetData>
    <row r="1" spans="1:9" ht="16.2" thickBot="1" x14ac:dyDescent="0.35">
      <c r="A1" s="212"/>
      <c r="B1" s="213"/>
      <c r="C1" s="212"/>
      <c r="D1" s="16"/>
      <c r="E1" s="351" t="str">
        <f>Runsheet!U7</f>
        <v>Day 3</v>
      </c>
      <c r="F1" s="351"/>
      <c r="G1" s="351"/>
      <c r="H1" s="17"/>
      <c r="I1" s="18"/>
    </row>
    <row r="2" spans="1:9" ht="15" customHeight="1" thickTop="1" x14ac:dyDescent="0.3">
      <c r="A2" s="212"/>
      <c r="B2" s="318" t="s">
        <v>264</v>
      </c>
      <c r="C2" s="212"/>
      <c r="D2" s="19"/>
      <c r="E2" s="352">
        <f>Runsheet!U6</f>
        <v>44788</v>
      </c>
      <c r="F2" s="352"/>
      <c r="G2" s="352"/>
      <c r="H2" s="4"/>
      <c r="I2" s="21"/>
    </row>
    <row r="3" spans="1:9" ht="15" customHeight="1" thickBot="1" x14ac:dyDescent="0.35">
      <c r="A3" s="212"/>
      <c r="B3" s="319"/>
      <c r="C3" s="212"/>
      <c r="D3" s="19"/>
      <c r="E3" s="127"/>
      <c r="F3" s="127"/>
      <c r="G3" s="127"/>
      <c r="H3" s="4"/>
      <c r="I3" s="21"/>
    </row>
    <row r="4" spans="1:9" ht="16.8" thickTop="1" thickBot="1" x14ac:dyDescent="0.35">
      <c r="A4" s="212"/>
      <c r="B4" s="213"/>
      <c r="C4" s="212"/>
      <c r="D4" s="354" t="s">
        <v>179</v>
      </c>
      <c r="E4" s="355"/>
      <c r="F4" s="355"/>
      <c r="G4" s="355"/>
      <c r="H4" s="355"/>
      <c r="I4" s="356"/>
    </row>
    <row r="5" spans="1:9" ht="15" customHeight="1" thickTop="1" x14ac:dyDescent="0.3">
      <c r="A5" s="212"/>
      <c r="B5" s="320" t="s">
        <v>247</v>
      </c>
      <c r="C5" s="212"/>
      <c r="D5" s="136" t="s">
        <v>37</v>
      </c>
      <c r="E5" s="136" t="s">
        <v>190</v>
      </c>
      <c r="F5" s="136" t="s">
        <v>195</v>
      </c>
      <c r="G5" s="136" t="s">
        <v>200</v>
      </c>
      <c r="H5" s="4"/>
      <c r="I5" s="21"/>
    </row>
    <row r="6" spans="1:9" ht="15" customHeight="1" thickBot="1" x14ac:dyDescent="0.35">
      <c r="A6" s="212"/>
      <c r="B6" s="321"/>
      <c r="C6" s="212"/>
      <c r="D6" s="137" t="str">
        <f>guest_lists[[#This Row],[tour_type]]</f>
        <v>12 - DPCYT</v>
      </c>
      <c r="E6" s="137" t="str">
        <f>guest_lists[[#This Row],[guest_lists]]</f>
        <v>Penelope Lister</v>
      </c>
      <c r="F6" s="137" t="str">
        <f>guest_lists[[#This Row],[party]]</f>
        <v>party_1 G1</v>
      </c>
      <c r="G6" s="137" t="str">
        <f>guest_lists[[#This Row],[dietary_requirements2]]</f>
        <v>nil</v>
      </c>
      <c r="H6" s="4"/>
      <c r="I6" s="21"/>
    </row>
    <row r="7" spans="1:9" ht="16.8" thickTop="1" thickBot="1" x14ac:dyDescent="0.35">
      <c r="A7" s="214"/>
      <c r="B7" s="213"/>
      <c r="C7" s="214"/>
      <c r="D7" s="137" t="str">
        <f>guest_lists[[#This Row],[tour_type]]</f>
        <v>12 - DPCYT</v>
      </c>
      <c r="E7" s="137" t="str">
        <f>guest_lists[[#This Row],[guest_lists]]</f>
        <v>Gerald Lister</v>
      </c>
      <c r="F7" s="137" t="str">
        <f>guest_lists[[#This Row],[party]]</f>
        <v>party_1 G2</v>
      </c>
      <c r="G7" s="137" t="str">
        <f>guest_lists[[#This Row],[dietary_requirements2]]</f>
        <v>nil</v>
      </c>
      <c r="H7" s="4"/>
      <c r="I7" s="21"/>
    </row>
    <row r="8" spans="1:9" ht="15" customHeight="1" thickTop="1" x14ac:dyDescent="0.3">
      <c r="A8" s="212"/>
      <c r="B8" s="318" t="s">
        <v>265</v>
      </c>
      <c r="C8" s="212"/>
      <c r="D8" s="137" t="str">
        <f>guest_lists[[#This Row],[tour_type]]</f>
        <v>12 - DPCYT</v>
      </c>
      <c r="E8" s="137" t="str">
        <f>guest_lists[[#This Row],[guest_lists]]</f>
        <v>Denis Lister</v>
      </c>
      <c r="F8" s="137" t="str">
        <f>guest_lists[[#This Row],[party]]</f>
        <v>party_2 G1</v>
      </c>
      <c r="G8" s="137" t="str">
        <f>guest_lists[[#This Row],[dietary_requirements2]]</f>
        <v>nil</v>
      </c>
      <c r="H8" s="4"/>
      <c r="I8" s="21"/>
    </row>
    <row r="9" spans="1:9" ht="15" customHeight="1" thickBot="1" x14ac:dyDescent="0.35">
      <c r="A9" s="212"/>
      <c r="B9" s="319"/>
      <c r="C9" s="215"/>
      <c r="D9" s="137" t="str">
        <f>guest_lists[[#This Row],[tour_type]]</f>
        <v>12 - DSCYT</v>
      </c>
      <c r="E9" s="137" t="str">
        <f>guest_lists[[#This Row],[guest_lists]]</f>
        <v>Mark Morgan</v>
      </c>
      <c r="F9" s="137" t="str">
        <f>guest_lists[[#This Row],[party]]</f>
        <v>party_3 G1</v>
      </c>
      <c r="G9" s="137" t="str">
        <f>guest_lists[[#This Row],[dietary_requirements2]]</f>
        <v>nil</v>
      </c>
      <c r="H9" s="4"/>
      <c r="I9" s="21"/>
    </row>
    <row r="10" spans="1:9" ht="16.8" thickTop="1" thickBot="1" x14ac:dyDescent="0.35">
      <c r="A10" s="212"/>
      <c r="B10" s="213"/>
      <c r="C10" s="215"/>
      <c r="D10" s="137" t="str">
        <f>guest_lists[[#This Row],[tour_type]]</f>
        <v>12 - DSCYT</v>
      </c>
      <c r="E10" s="137" t="str">
        <f>guest_lists[[#This Row],[guest_lists]]</f>
        <v>Nicola Morgan</v>
      </c>
      <c r="F10" s="137" t="str">
        <f>guest_lists[[#This Row],[party]]</f>
        <v>party_3 G2</v>
      </c>
      <c r="G10" s="137" t="str">
        <f>guest_lists[[#This Row],[dietary_requirements2]]</f>
        <v>nil</v>
      </c>
      <c r="H10" s="4"/>
      <c r="I10" s="21"/>
    </row>
    <row r="11" spans="1:9" ht="15" customHeight="1" thickTop="1" x14ac:dyDescent="0.3">
      <c r="A11" s="212"/>
      <c r="B11" s="318" t="s">
        <v>511</v>
      </c>
      <c r="C11" s="215"/>
      <c r="D11" s="137" t="str">
        <f>guest_lists[[#This Row],[tour_type]]</f>
        <v>12 - DSCYT</v>
      </c>
      <c r="E11" s="137" t="str">
        <f>guest_lists[[#This Row],[guest_lists]]</f>
        <v>Joan Roberts</v>
      </c>
      <c r="F11" s="137" t="str">
        <f>guest_lists[[#This Row],[party]]</f>
        <v>party_4 G1</v>
      </c>
      <c r="G11" s="137" t="str">
        <f>guest_lists[[#This Row],[dietary_requirements2]]</f>
        <v>nil</v>
      </c>
      <c r="H11" s="4"/>
      <c r="I11" s="21"/>
    </row>
    <row r="12" spans="1:9" ht="15" hidden="1" customHeight="1" thickBot="1" x14ac:dyDescent="0.35">
      <c r="A12" s="212"/>
      <c r="B12" s="319"/>
      <c r="C12" s="215"/>
      <c r="D12" s="137" t="str">
        <f>guest_lists[[#This Row],[tour_type]]</f>
        <v>12 - DSCYT</v>
      </c>
      <c r="E12" s="137" t="str">
        <f>guest_lists[[#This Row],[guest_lists]]</f>
        <v>Valerie Mead</v>
      </c>
      <c r="F12" s="137" t="str">
        <f>guest_lists[[#This Row],[party]]</f>
        <v>party_4 G2</v>
      </c>
      <c r="G12" s="137" t="str">
        <f>guest_lists[[#This Row],[dietary_requirements2]]</f>
        <v>nil</v>
      </c>
      <c r="H12" s="128" t="str">
        <f>guest_lists[[#This Row],[dietary_requirements2]]</f>
        <v>nil</v>
      </c>
      <c r="I12" s="21"/>
    </row>
    <row r="13" spans="1:9" ht="15.6" hidden="1" customHeight="1" x14ac:dyDescent="0.3">
      <c r="A13" s="212"/>
      <c r="B13" s="213"/>
      <c r="C13" s="215"/>
      <c r="D13" s="137" t="str">
        <f>guest_lists[[#This Row],[tour_type]]</f>
        <v>12 - DSCYT</v>
      </c>
      <c r="E13" s="137" t="str">
        <f>guest_lists[[#This Row],[guest_lists]]</f>
        <v>Ann Berriman</v>
      </c>
      <c r="F13" s="137" t="str">
        <f>guest_lists[[#This Row],[party]]</f>
        <v>party_5 G1</v>
      </c>
      <c r="G13" s="137" t="str">
        <f>guest_lists[[#This Row],[dietary_requirements2]]</f>
        <v>nil</v>
      </c>
      <c r="H13" s="128" t="str">
        <f>guest_lists[[#This Row],[dietary_requirements2]]</f>
        <v>nil</v>
      </c>
      <c r="I13" s="21"/>
    </row>
    <row r="14" spans="1:9" ht="15" hidden="1" customHeight="1" thickTop="1" x14ac:dyDescent="0.3">
      <c r="A14" s="212"/>
      <c r="B14" s="318" t="s">
        <v>512</v>
      </c>
      <c r="C14" s="215"/>
      <c r="D14" s="137" t="str">
        <f>guest_lists[[#This Row],[tour_type]]</f>
        <v>12 - DSCYT</v>
      </c>
      <c r="E14" s="137" t="str">
        <f>guest_lists[[#This Row],[guest_lists]]</f>
        <v>Wanda Drost</v>
      </c>
      <c r="F14" s="137" t="str">
        <f>guest_lists[[#This Row],[party]]</f>
        <v>party_5 G2</v>
      </c>
      <c r="G14" s="137" t="str">
        <f>guest_lists[[#This Row],[dietary_requirements2]]</f>
        <v>celiac</v>
      </c>
      <c r="H14" s="128" t="str">
        <f>guest_lists[[#This Row],[dietary_requirements2]]</f>
        <v>celiac</v>
      </c>
      <c r="I14" s="21"/>
    </row>
    <row r="15" spans="1:9" ht="15" thickBot="1" x14ac:dyDescent="0.35">
      <c r="A15" s="212"/>
      <c r="B15" s="319"/>
      <c r="C15" s="215"/>
      <c r="D15" s="137" t="str">
        <f>guest_lists[[#This Row],[tour_type]]</f>
        <v>5 - DTT</v>
      </c>
      <c r="E15" s="137" t="str">
        <f>guest_lists[[#This Row],[guest_lists]]</f>
        <v>Ian Neil</v>
      </c>
      <c r="F15" s="137" t="str">
        <f>guest_lists[[#This Row],[party]]</f>
        <v>party_6 G1</v>
      </c>
      <c r="G15" s="137" t="str">
        <f>guest_lists[[#This Row],[dietary_requirements2]]</f>
        <v>nil</v>
      </c>
      <c r="H15" s="4"/>
      <c r="I15" s="21"/>
    </row>
    <row r="16" spans="1:9" ht="16.8" thickTop="1" thickBot="1" x14ac:dyDescent="0.35">
      <c r="A16" s="212"/>
      <c r="B16" s="213"/>
      <c r="C16" s="215"/>
      <c r="D16" s="137" t="str">
        <f>guest_lists[[#This Row],[tour_type]]</f>
        <v>5 - DTT</v>
      </c>
      <c r="E16" s="137" t="str">
        <f>guest_lists[[#This Row],[guest_lists]]</f>
        <v>Graheme Fergueson</v>
      </c>
      <c r="F16" s="137" t="str">
        <f>guest_lists[[#This Row],[party]]</f>
        <v>party_6 G2</v>
      </c>
      <c r="G16" s="137" t="str">
        <f>guest_lists[[#This Row],[dietary_requirements2]]</f>
        <v>nil</v>
      </c>
      <c r="H16" s="4"/>
      <c r="I16" s="21"/>
    </row>
    <row r="17" spans="1:9" ht="15" thickTop="1" x14ac:dyDescent="0.3">
      <c r="A17" s="212"/>
      <c r="B17" s="318" t="s">
        <v>266</v>
      </c>
      <c r="C17" s="215"/>
      <c r="D17" s="137" t="str">
        <f>guest_lists[[#This Row],[tour_type]]</f>
        <v>9 - DPSYT</v>
      </c>
      <c r="E17" s="137" t="str">
        <f>guest_lists[[#This Row],[guest_lists]]</f>
        <v>Raewyn Brookie</v>
      </c>
      <c r="F17" s="137" t="str">
        <f>guest_lists[[#This Row],[party]]</f>
        <v>party_7 G1</v>
      </c>
      <c r="G17" s="137" t="str">
        <f>guest_lists[[#This Row],[dietary_requirements2]]</f>
        <v>nil</v>
      </c>
      <c r="H17" s="4"/>
      <c r="I17" s="21"/>
    </row>
    <row r="18" spans="1:9" ht="15" customHeight="1" thickBot="1" x14ac:dyDescent="0.35">
      <c r="A18" s="212"/>
      <c r="B18" s="319"/>
      <c r="C18" s="215"/>
      <c r="D18" s="325" t="s">
        <v>33</v>
      </c>
      <c r="E18" s="326"/>
      <c r="F18" s="326"/>
      <c r="G18" s="326"/>
      <c r="H18" s="326"/>
      <c r="I18" s="327"/>
    </row>
    <row r="19" spans="1:9" ht="15" customHeight="1" thickTop="1" thickBot="1" x14ac:dyDescent="0.35">
      <c r="A19" s="212"/>
      <c r="B19" s="213"/>
      <c r="C19" s="215"/>
      <c r="D19" s="129" t="str">
        <f>Runsheet!E8</f>
        <v>Accommodation Booked</v>
      </c>
      <c r="E19" s="73" t="str">
        <f>Runsheet!E9</f>
        <v>Accommodation Entity</v>
      </c>
      <c r="F19" s="73" t="str">
        <f>Runsheet!F9</f>
        <v>Address</v>
      </c>
      <c r="G19" s="73" t="str">
        <f>Runsheet!G9</f>
        <v>Number of rooms on hold</v>
      </c>
      <c r="H19" s="73" t="str">
        <f>Runsheet!H9</f>
        <v>Bedding Configuration Booked</v>
      </c>
      <c r="I19" s="130" t="str">
        <f>Runsheet!I9</f>
        <v>Contact Details</v>
      </c>
    </row>
    <row r="20" spans="1:9" ht="15" thickTop="1" x14ac:dyDescent="0.3">
      <c r="A20" s="212"/>
      <c r="B20" s="318" t="s">
        <v>267</v>
      </c>
      <c r="C20" s="215"/>
      <c r="D20" s="131" t="str">
        <f>Runsheet!D10</f>
        <v>Accommodation #1</v>
      </c>
      <c r="E20" s="61" t="str">
        <f>Runsheet!U10</f>
        <v>Ferntrees</v>
      </c>
      <c r="F20" s="61" t="str">
        <f>Runsheet!V10</f>
        <v>36 Camelot Close Cape Tribulation</v>
      </c>
      <c r="G20" s="61">
        <f>Runsheet!W10</f>
        <v>7</v>
      </c>
      <c r="H20" s="61">
        <f>Runsheet!X10</f>
        <v>0</v>
      </c>
      <c r="I20" s="61">
        <f>Runsheet!Y10</f>
        <v>740980000</v>
      </c>
    </row>
    <row r="21" spans="1:9" ht="15" customHeight="1" thickBot="1" x14ac:dyDescent="0.35">
      <c r="A21" s="212"/>
      <c r="B21" s="319"/>
      <c r="C21" s="215"/>
      <c r="D21" s="131" t="str">
        <f>Runsheet!D11</f>
        <v>Accommodation #2</v>
      </c>
      <c r="E21" s="61" t="str">
        <f>Runsheet!U11</f>
        <v>A None</v>
      </c>
      <c r="F21" s="61">
        <f>Runsheet!V11</f>
        <v>0</v>
      </c>
      <c r="G21" s="61">
        <f>Runsheet!W11</f>
        <v>4</v>
      </c>
      <c r="H21" s="61">
        <f>Runsheet!X11</f>
        <v>0</v>
      </c>
      <c r="I21" s="61">
        <f>Runsheet!Y11</f>
        <v>0</v>
      </c>
    </row>
    <row r="22" spans="1:9" ht="12.6" customHeight="1" thickTop="1" thickBot="1" x14ac:dyDescent="0.35">
      <c r="A22" s="212"/>
      <c r="B22" s="213"/>
      <c r="C22" s="215"/>
      <c r="D22" s="131" t="str">
        <f>Runsheet!D12</f>
        <v>Accommodation #3</v>
      </c>
      <c r="E22" s="61" t="str">
        <f>Runsheet!U12</f>
        <v>A None</v>
      </c>
      <c r="F22" s="61">
        <f>Runsheet!V12</f>
        <v>0</v>
      </c>
      <c r="G22" s="61">
        <f>Runsheet!W12</f>
        <v>0</v>
      </c>
      <c r="H22" s="61">
        <f>Runsheet!X12</f>
        <v>0</v>
      </c>
      <c r="I22" s="61">
        <f>Runsheet!Y12</f>
        <v>0</v>
      </c>
    </row>
    <row r="23" spans="1:9" ht="15" thickTop="1" x14ac:dyDescent="0.3">
      <c r="A23" s="212"/>
      <c r="B23" s="318" t="s">
        <v>268</v>
      </c>
      <c r="C23" s="215"/>
      <c r="D23" s="131" t="str">
        <f>Runsheet!D13</f>
        <v>Accommodation #4</v>
      </c>
      <c r="E23" s="61">
        <f>Runsheet!U13</f>
        <v>0</v>
      </c>
      <c r="F23" s="61">
        <f>Runsheet!V13</f>
        <v>0</v>
      </c>
      <c r="G23" s="61">
        <f>Runsheet!W13</f>
        <v>0</v>
      </c>
      <c r="H23" s="61">
        <f>Runsheet!X13</f>
        <v>0</v>
      </c>
      <c r="I23" s="61">
        <f>Runsheet!Y13</f>
        <v>0</v>
      </c>
    </row>
    <row r="24" spans="1:9" ht="15.6" customHeight="1" thickBot="1" x14ac:dyDescent="0.35">
      <c r="A24" s="212"/>
      <c r="B24" s="319"/>
      <c r="C24" s="215"/>
      <c r="D24" s="19"/>
      <c r="E24" s="4"/>
      <c r="F24" s="20" t="str">
        <f>Runsheet!F14</f>
        <v xml:space="preserve">Total Accommodation </v>
      </c>
      <c r="G24" s="74">
        <f>Runsheet!W14</f>
        <v>11</v>
      </c>
      <c r="H24" s="4"/>
      <c r="I24" s="21"/>
    </row>
    <row r="25" spans="1:9" ht="15.6" customHeight="1" thickTop="1" thickBot="1" x14ac:dyDescent="0.35">
      <c r="A25" s="212"/>
      <c r="B25" s="213"/>
      <c r="C25" s="215"/>
      <c r="D25" s="19"/>
      <c r="E25" s="4"/>
      <c r="F25" s="4"/>
      <c r="G25" s="4"/>
      <c r="H25" s="4"/>
      <c r="I25" s="21"/>
    </row>
    <row r="26" spans="1:9" ht="15" thickTop="1" x14ac:dyDescent="0.3">
      <c r="A26" s="212"/>
      <c r="B26" s="318" t="s">
        <v>269</v>
      </c>
      <c r="C26" s="215"/>
      <c r="D26" s="325" t="str">
        <f>Runsheet!D15</f>
        <v>Guests Accommodation</v>
      </c>
      <c r="E26" s="326"/>
      <c r="F26" s="326"/>
      <c r="G26" s="326"/>
      <c r="H26" s="326"/>
      <c r="I26" s="327"/>
    </row>
    <row r="27" spans="1:9" ht="15" customHeight="1" thickBot="1" x14ac:dyDescent="0.35">
      <c r="A27" s="212"/>
      <c r="B27" s="319"/>
      <c r="C27" s="215"/>
      <c r="D27" s="100" t="s">
        <v>195</v>
      </c>
      <c r="E27" s="76" t="s">
        <v>36</v>
      </c>
      <c r="F27" s="72" t="s">
        <v>33</v>
      </c>
      <c r="G27" s="20" t="s">
        <v>161</v>
      </c>
      <c r="H27" s="20" t="s">
        <v>186</v>
      </c>
      <c r="I27" s="48" t="s">
        <v>189</v>
      </c>
    </row>
    <row r="28" spans="1:9" ht="15" customHeight="1" thickTop="1" thickBot="1" x14ac:dyDescent="0.35">
      <c r="A28" s="212"/>
      <c r="B28" s="213"/>
      <c r="C28" s="215"/>
      <c r="D28" s="353" t="str">
        <f>Runsheet!D17</f>
        <v>Party 1</v>
      </c>
      <c r="E28" s="65" t="str">
        <f>Runsheet!E17</f>
        <v>Penelope Lister</v>
      </c>
      <c r="F28" s="65" t="str">
        <f>Runsheet!W17</f>
        <v>Ferntrees</v>
      </c>
      <c r="G28" s="65" t="str">
        <f>Runsheet!X17</f>
        <v>double</v>
      </c>
      <c r="H28" s="65">
        <f>Runsheet!Y17</f>
        <v>12</v>
      </c>
      <c r="I28" s="65">
        <f>Runsheet!Z17</f>
        <v>0</v>
      </c>
    </row>
    <row r="29" spans="1:9" ht="15" thickTop="1" x14ac:dyDescent="0.3">
      <c r="A29" s="212"/>
      <c r="B29" s="318" t="s">
        <v>270</v>
      </c>
      <c r="C29" s="215"/>
      <c r="D29" s="353"/>
      <c r="E29" s="65" t="str">
        <f>Runsheet!E18</f>
        <v>Gerald Lister</v>
      </c>
      <c r="F29" s="65" t="str">
        <f>Runsheet!W18</f>
        <v>Ferntrees</v>
      </c>
      <c r="G29" s="65" t="str">
        <f>Runsheet!X18</f>
        <v>double</v>
      </c>
      <c r="H29" s="65">
        <f>Runsheet!Y18</f>
        <v>12</v>
      </c>
      <c r="I29" s="65">
        <f>Runsheet!Z18</f>
        <v>0</v>
      </c>
    </row>
    <row r="30" spans="1:9" ht="15" customHeight="1" thickBot="1" x14ac:dyDescent="0.35">
      <c r="A30" s="212"/>
      <c r="B30" s="319"/>
      <c r="C30" s="215"/>
      <c r="D30" s="353" t="str">
        <f>Runsheet!D19</f>
        <v>Party 2</v>
      </c>
      <c r="E30" s="65" t="str">
        <f>Runsheet!E19</f>
        <v>Denis Lister</v>
      </c>
      <c r="F30" s="65" t="str">
        <f>Runsheet!W19</f>
        <v>Ferntrees</v>
      </c>
      <c r="G30" s="65" t="str">
        <f>Runsheet!X19</f>
        <v>double</v>
      </c>
      <c r="H30" s="65">
        <f>Runsheet!Y19</f>
        <v>14</v>
      </c>
      <c r="I30" s="65">
        <f>Runsheet!Z19</f>
        <v>0</v>
      </c>
    </row>
    <row r="31" spans="1:9" ht="15" customHeight="1" thickTop="1" thickBot="1" x14ac:dyDescent="0.35">
      <c r="A31" s="212"/>
      <c r="B31" s="213"/>
      <c r="C31" s="215"/>
      <c r="D31" s="353"/>
      <c r="E31" s="65" t="e">
        <f>Runsheet!E20</f>
        <v>#N/A</v>
      </c>
      <c r="F31" s="65">
        <f>Runsheet!W20</f>
        <v>0</v>
      </c>
      <c r="G31" s="65">
        <f>Runsheet!X20</f>
        <v>0</v>
      </c>
      <c r="H31" s="65">
        <f>Runsheet!Y20</f>
        <v>0</v>
      </c>
      <c r="I31" s="65">
        <f>Runsheet!Z20</f>
        <v>0</v>
      </c>
    </row>
    <row r="32" spans="1:9" ht="15" thickTop="1" x14ac:dyDescent="0.3">
      <c r="A32" s="212"/>
      <c r="B32" s="318" t="s">
        <v>271</v>
      </c>
      <c r="C32" s="215"/>
      <c r="D32" s="353" t="str">
        <f>Runsheet!D21</f>
        <v>Party 3</v>
      </c>
      <c r="E32" s="65" t="str">
        <f>Runsheet!E21</f>
        <v>Mark Morgan</v>
      </c>
      <c r="F32" s="65" t="str">
        <f>Runsheet!W21</f>
        <v>Ferntrees</v>
      </c>
      <c r="G32" s="65" t="str">
        <f>Runsheet!X21</f>
        <v>double</v>
      </c>
      <c r="H32" s="65">
        <f>Runsheet!Y21</f>
        <v>25</v>
      </c>
      <c r="I32" s="65">
        <f>Runsheet!Z21</f>
        <v>0</v>
      </c>
    </row>
    <row r="33" spans="1:9" ht="15" customHeight="1" thickBot="1" x14ac:dyDescent="0.35">
      <c r="A33" s="212"/>
      <c r="B33" s="319"/>
      <c r="C33" s="215"/>
      <c r="D33" s="353"/>
      <c r="E33" s="65" t="str">
        <f>Runsheet!E22</f>
        <v>Nicola Morgan</v>
      </c>
      <c r="F33" s="65" t="str">
        <f>Runsheet!W22</f>
        <v>Ferntrees</v>
      </c>
      <c r="G33" s="65" t="str">
        <f>Runsheet!X22</f>
        <v>double</v>
      </c>
      <c r="H33" s="65">
        <f>Runsheet!Y22</f>
        <v>25</v>
      </c>
      <c r="I33" s="65">
        <f>Runsheet!Z22</f>
        <v>0</v>
      </c>
    </row>
    <row r="34" spans="1:9" ht="15" customHeight="1" thickTop="1" thickBot="1" x14ac:dyDescent="0.35">
      <c r="A34" s="212"/>
      <c r="B34" s="213"/>
      <c r="C34" s="215"/>
      <c r="D34" s="353" t="str">
        <f>Runsheet!D23</f>
        <v>Party 4</v>
      </c>
      <c r="E34" s="65" t="str">
        <f>Runsheet!E23</f>
        <v>Joan Roberts</v>
      </c>
      <c r="F34" s="65" t="str">
        <f>Runsheet!W23</f>
        <v>Ferntrees</v>
      </c>
      <c r="G34" s="65" t="str">
        <f>Runsheet!X23</f>
        <v>double</v>
      </c>
      <c r="H34" s="65">
        <f>Runsheet!Y23</f>
        <v>17</v>
      </c>
      <c r="I34" s="65">
        <f>Runsheet!Z23</f>
        <v>0</v>
      </c>
    </row>
    <row r="35" spans="1:9" ht="15" thickTop="1" x14ac:dyDescent="0.3">
      <c r="A35" s="212"/>
      <c r="B35" s="318" t="s">
        <v>272</v>
      </c>
      <c r="C35" s="215"/>
      <c r="D35" s="353"/>
      <c r="E35" s="65" t="str">
        <f>Runsheet!E24</f>
        <v>Valerie Mead</v>
      </c>
      <c r="F35" s="65" t="str">
        <f>Runsheet!W24</f>
        <v>Ferntrees</v>
      </c>
      <c r="G35" s="65" t="str">
        <f>Runsheet!X24</f>
        <v>double</v>
      </c>
      <c r="H35" s="65">
        <f>Runsheet!Y24</f>
        <v>17</v>
      </c>
      <c r="I35" s="65">
        <f>Runsheet!Z24</f>
        <v>0</v>
      </c>
    </row>
    <row r="36" spans="1:9" ht="15" customHeight="1" thickBot="1" x14ac:dyDescent="0.35">
      <c r="A36" s="212"/>
      <c r="B36" s="319"/>
      <c r="C36" s="215"/>
      <c r="D36" s="353" t="str">
        <f>Runsheet!D25</f>
        <v>Party 5</v>
      </c>
      <c r="E36" s="65" t="str">
        <f>Runsheet!E25</f>
        <v>Ann Berriman</v>
      </c>
      <c r="F36" s="65" t="str">
        <f>Runsheet!W25</f>
        <v>Ferntrees</v>
      </c>
      <c r="G36" s="65" t="str">
        <f>Runsheet!X25</f>
        <v>double</v>
      </c>
      <c r="H36" s="65">
        <f>Runsheet!Y25</f>
        <v>18</v>
      </c>
      <c r="I36" s="65">
        <f>Runsheet!Z25</f>
        <v>0</v>
      </c>
    </row>
    <row r="37" spans="1:9" ht="15" customHeight="1" thickTop="1" thickBot="1" x14ac:dyDescent="0.35">
      <c r="A37" s="212"/>
      <c r="B37" s="213"/>
      <c r="C37" s="215"/>
      <c r="D37" s="353"/>
      <c r="E37" s="65" t="str">
        <f>Runsheet!E26</f>
        <v>Wanda Drost</v>
      </c>
      <c r="F37" s="65" t="str">
        <f>Runsheet!W26</f>
        <v>Ferntrees</v>
      </c>
      <c r="G37" s="65" t="str">
        <f>Runsheet!X26</f>
        <v>double</v>
      </c>
      <c r="H37" s="65">
        <f>Runsheet!Y26</f>
        <v>18</v>
      </c>
      <c r="I37" s="65">
        <f>Runsheet!Z26</f>
        <v>0</v>
      </c>
    </row>
    <row r="38" spans="1:9" ht="15" thickTop="1" x14ac:dyDescent="0.3">
      <c r="A38" s="212"/>
      <c r="B38" s="318" t="s">
        <v>273</v>
      </c>
      <c r="C38" s="215"/>
      <c r="D38" s="353" t="str">
        <f>Runsheet!D27</f>
        <v>Party 6</v>
      </c>
      <c r="E38" s="65" t="str">
        <f>Runsheet!E27</f>
        <v>Ian Neil</v>
      </c>
      <c r="F38" s="65" t="str">
        <f>Runsheet!W27</f>
        <v>Ferntrees</v>
      </c>
      <c r="G38" s="65" t="str">
        <f>Runsheet!X27</f>
        <v>double</v>
      </c>
      <c r="H38" s="65">
        <f>Runsheet!Y27</f>
        <v>20</v>
      </c>
      <c r="I38" s="65">
        <f>Runsheet!Z27</f>
        <v>0</v>
      </c>
    </row>
    <row r="39" spans="1:9" ht="15" customHeight="1" thickBot="1" x14ac:dyDescent="0.35">
      <c r="A39" s="212"/>
      <c r="B39" s="319"/>
      <c r="C39" s="215"/>
      <c r="D39" s="353"/>
      <c r="E39" s="65" t="str">
        <f>Runsheet!E28</f>
        <v>Graheme Fergueson</v>
      </c>
      <c r="F39" s="65" t="str">
        <f>Runsheet!W28</f>
        <v>Ferntrees</v>
      </c>
      <c r="G39" s="65" t="str">
        <f>Runsheet!X28</f>
        <v>double</v>
      </c>
      <c r="H39" s="65">
        <f>Runsheet!Y28</f>
        <v>20</v>
      </c>
      <c r="I39" s="65">
        <f>Runsheet!Z28</f>
        <v>0</v>
      </c>
    </row>
    <row r="40" spans="1:9" ht="14.4" customHeight="1" thickTop="1" thickBot="1" x14ac:dyDescent="0.35">
      <c r="A40" s="212"/>
      <c r="B40" s="213"/>
      <c r="C40" s="215"/>
      <c r="D40" s="353" t="str">
        <f>Runsheet!D29</f>
        <v>Party 7</v>
      </c>
      <c r="E40" s="65" t="str">
        <f>Runsheet!E29</f>
        <v>Raewyn Brookie</v>
      </c>
      <c r="F40" s="65" t="str">
        <f>Runsheet!W29</f>
        <v>Ferntrees</v>
      </c>
      <c r="G40" s="65" t="str">
        <f>Runsheet!X29</f>
        <v>double</v>
      </c>
      <c r="H40" s="65">
        <f>Runsheet!Y29</f>
        <v>59</v>
      </c>
      <c r="I40" s="65">
        <f>Runsheet!Z29</f>
        <v>0</v>
      </c>
    </row>
    <row r="41" spans="1:9" ht="15" customHeight="1" thickTop="1" x14ac:dyDescent="0.3">
      <c r="A41" s="212"/>
      <c r="B41" s="318" t="s">
        <v>274</v>
      </c>
      <c r="C41" s="215"/>
      <c r="D41" s="353"/>
      <c r="E41" s="65" t="e">
        <f>Runsheet!E30</f>
        <v>#N/A</v>
      </c>
      <c r="F41" s="65">
        <f>Runsheet!W30</f>
        <v>0</v>
      </c>
      <c r="G41" s="65">
        <f>Runsheet!X30</f>
        <v>0</v>
      </c>
      <c r="H41" s="65">
        <f>Runsheet!Y30</f>
        <v>0</v>
      </c>
      <c r="I41" s="65">
        <f>Runsheet!Z30</f>
        <v>0</v>
      </c>
    </row>
    <row r="42" spans="1:9" ht="15" thickBot="1" x14ac:dyDescent="0.35">
      <c r="A42" s="212"/>
      <c r="B42" s="319"/>
      <c r="C42" s="215"/>
      <c r="D42" s="325" t="str">
        <f>Runsheet!D36</f>
        <v>Dinning Arrangements</v>
      </c>
      <c r="E42" s="326"/>
      <c r="F42" s="326"/>
      <c r="G42" s="326"/>
      <c r="H42" s="326"/>
      <c r="I42" s="327"/>
    </row>
    <row r="43" spans="1:9" ht="15" customHeight="1" thickTop="1" thickBot="1" x14ac:dyDescent="0.35">
      <c r="A43" s="212"/>
      <c r="B43" s="213"/>
      <c r="C43" s="215"/>
      <c r="D43" s="19"/>
      <c r="E43" s="4"/>
      <c r="F43" s="4"/>
      <c r="G43" s="4"/>
      <c r="H43" s="4"/>
      <c r="I43" s="21"/>
    </row>
    <row r="44" spans="1:9" ht="15" customHeight="1" thickTop="1" x14ac:dyDescent="0.3">
      <c r="A44" s="212"/>
      <c r="B44" s="318" t="s">
        <v>275</v>
      </c>
      <c r="C44" s="215"/>
      <c r="D44" s="328" t="str">
        <f>Runsheet!D37</f>
        <v xml:space="preserve">Breakfast </v>
      </c>
      <c r="E44" s="329" t="str">
        <f>Runsheet!U37</f>
        <v>Continental Breakfast at Chillagoe Cabins</v>
      </c>
      <c r="F44" s="330"/>
      <c r="G44" s="330"/>
      <c r="H44" s="330"/>
      <c r="I44" s="331"/>
    </row>
    <row r="45" spans="1:9" ht="15" thickBot="1" x14ac:dyDescent="0.35">
      <c r="A45" s="212"/>
      <c r="B45" s="319"/>
      <c r="C45" s="215"/>
      <c r="D45" s="328"/>
      <c r="E45" s="332"/>
      <c r="F45" s="333"/>
      <c r="G45" s="333"/>
      <c r="H45" s="333"/>
      <c r="I45" s="334"/>
    </row>
    <row r="46" spans="1:9" ht="57.6" customHeight="1" thickTop="1" thickBot="1" x14ac:dyDescent="0.35">
      <c r="A46" s="212"/>
      <c r="B46" s="213"/>
      <c r="C46" s="215"/>
      <c r="D46" s="328" t="str">
        <f>Runsheet!D39</f>
        <v xml:space="preserve">Lunch </v>
      </c>
      <c r="E46" s="329" t="str">
        <f>Runsheet!U39</f>
        <v>Camp 64</v>
      </c>
      <c r="F46" s="330"/>
      <c r="G46" s="330"/>
      <c r="H46" s="330"/>
      <c r="I46" s="331"/>
    </row>
    <row r="47" spans="1:9" ht="15" customHeight="1" thickTop="1" x14ac:dyDescent="0.3">
      <c r="A47" s="212"/>
      <c r="B47" s="318" t="s">
        <v>276</v>
      </c>
      <c r="C47" s="215"/>
      <c r="D47" s="328"/>
      <c r="E47" s="332"/>
      <c r="F47" s="333"/>
      <c r="G47" s="333"/>
      <c r="H47" s="333"/>
      <c r="I47" s="334"/>
    </row>
    <row r="48" spans="1:9" ht="28.8" customHeight="1" thickBot="1" x14ac:dyDescent="0.35">
      <c r="A48" s="212"/>
      <c r="B48" s="319"/>
      <c r="C48" s="215"/>
      <c r="D48" s="328" t="str">
        <f>Runsheet!D41</f>
        <v xml:space="preserve">Dinner </v>
      </c>
      <c r="E48" s="329" t="str">
        <f>Runsheet!U41</f>
        <v>Cassowary Restaurant, other group, 12 pax - 6.30pm (CONFIRMED)</v>
      </c>
      <c r="F48" s="330"/>
      <c r="G48" s="330"/>
      <c r="H48" s="330"/>
      <c r="I48" s="331"/>
    </row>
    <row r="49" spans="1:9" ht="15" customHeight="1" thickTop="1" thickBot="1" x14ac:dyDescent="0.35">
      <c r="A49" s="212"/>
      <c r="B49" s="213"/>
      <c r="C49" s="215"/>
      <c r="D49" s="328"/>
      <c r="E49" s="332"/>
      <c r="F49" s="333"/>
      <c r="G49" s="333"/>
      <c r="H49" s="333"/>
      <c r="I49" s="334"/>
    </row>
    <row r="50" spans="1:9" ht="15" customHeight="1" thickTop="1" x14ac:dyDescent="0.3">
      <c r="A50" s="212"/>
      <c r="B50" s="318" t="s">
        <v>277</v>
      </c>
      <c r="C50" s="215"/>
      <c r="D50" s="134"/>
      <c r="E50" s="75"/>
      <c r="F50" s="75"/>
      <c r="G50" s="75"/>
      <c r="H50" s="75"/>
      <c r="I50" s="135"/>
    </row>
    <row r="51" spans="1:9" ht="15" thickBot="1" x14ac:dyDescent="0.35">
      <c r="A51" s="212"/>
      <c r="B51" s="319"/>
      <c r="C51" s="215"/>
      <c r="D51" s="325" t="s">
        <v>210</v>
      </c>
      <c r="E51" s="326"/>
      <c r="F51" s="326"/>
      <c r="G51" s="326"/>
      <c r="H51" s="326"/>
      <c r="I51" s="327"/>
    </row>
    <row r="52" spans="1:9" ht="15" customHeight="1" thickTop="1" x14ac:dyDescent="0.3">
      <c r="A52" s="212"/>
      <c r="B52" s="213"/>
      <c r="C52" s="215"/>
      <c r="D52" s="360" t="str">
        <f>Runsheet!T44</f>
        <v>Chillagoe Caves - Donna Cave -  10pax (Kim fear of small spaces ) (CONFIRMED) 9:00am</v>
      </c>
      <c r="E52" s="360"/>
      <c r="F52" s="360"/>
      <c r="G52" s="360"/>
      <c r="H52" s="360"/>
      <c r="I52" s="360"/>
    </row>
    <row r="53" spans="1:9" ht="15" customHeight="1" x14ac:dyDescent="0.3">
      <c r="A53" s="212"/>
      <c r="B53" s="213"/>
      <c r="C53" s="215"/>
      <c r="D53" s="360"/>
      <c r="E53" s="360"/>
      <c r="F53" s="360"/>
      <c r="G53" s="360"/>
      <c r="H53" s="360"/>
      <c r="I53" s="360"/>
    </row>
    <row r="54" spans="1:9" x14ac:dyDescent="0.3">
      <c r="A54" s="212"/>
      <c r="B54" s="231"/>
      <c r="C54" s="215"/>
      <c r="D54" s="360" t="str">
        <f>Runsheet!T45</f>
        <v>night walk booked for 7:00pm</v>
      </c>
      <c r="E54" s="360"/>
      <c r="F54" s="360"/>
      <c r="G54" s="360"/>
      <c r="H54" s="360"/>
      <c r="I54" s="360"/>
    </row>
    <row r="55" spans="1:9" x14ac:dyDescent="0.3">
      <c r="A55" s="212"/>
      <c r="B55" s="231"/>
      <c r="C55" s="215"/>
      <c r="D55" s="360"/>
      <c r="E55" s="360"/>
      <c r="F55" s="360"/>
      <c r="G55" s="360"/>
      <c r="H55" s="360"/>
      <c r="I55" s="360"/>
    </row>
    <row r="56" spans="1:9" x14ac:dyDescent="0.3">
      <c r="A56" s="212"/>
      <c r="B56" s="213"/>
      <c r="C56" s="215"/>
      <c r="D56" s="325" t="s">
        <v>348</v>
      </c>
      <c r="E56" s="326"/>
      <c r="F56" s="326"/>
      <c r="G56" s="326"/>
      <c r="H56" s="326"/>
      <c r="I56" s="327"/>
    </row>
    <row r="57" spans="1:9" x14ac:dyDescent="0.3">
      <c r="A57" s="212"/>
      <c r="B57" s="213"/>
      <c r="C57" s="215"/>
      <c r="D57" s="232"/>
      <c r="E57" s="138" t="str" cm="1">
        <f t="array" ref="E57:G57">day_3_itinerary_highights[]</f>
        <v>Alexandra Range</v>
      </c>
      <c r="F57" s="138">
        <v>0</v>
      </c>
      <c r="G57" s="138">
        <v>0</v>
      </c>
      <c r="H57" s="138"/>
      <c r="I57" s="233"/>
    </row>
    <row r="58" spans="1:9" x14ac:dyDescent="0.3">
      <c r="A58" s="212"/>
      <c r="B58" s="213"/>
      <c r="C58" s="215"/>
      <c r="D58" s="234"/>
      <c r="E58" s="235"/>
      <c r="F58" s="235"/>
      <c r="G58" s="235"/>
      <c r="H58" s="235"/>
      <c r="I58" s="236"/>
    </row>
    <row r="59" spans="1:9" x14ac:dyDescent="0.3">
      <c r="A59" s="212"/>
      <c r="B59" s="213"/>
      <c r="C59" s="215"/>
      <c r="D59" s="234"/>
      <c r="E59" s="235"/>
      <c r="F59" s="235"/>
      <c r="G59" s="235"/>
      <c r="H59" s="235"/>
      <c r="I59" s="236"/>
    </row>
    <row r="60" spans="1:9" x14ac:dyDescent="0.3">
      <c r="A60" s="212"/>
      <c r="B60" s="213"/>
      <c r="C60" s="215"/>
      <c r="D60" s="325" t="s">
        <v>209</v>
      </c>
      <c r="E60" s="326"/>
      <c r="F60" s="326"/>
      <c r="G60" s="326"/>
      <c r="H60" s="326"/>
      <c r="I60" s="327"/>
    </row>
    <row r="61" spans="1:9" x14ac:dyDescent="0.3">
      <c r="A61" s="212"/>
      <c r="B61" s="213"/>
      <c r="C61" s="215"/>
      <c r="D61" s="359" t="s">
        <v>97</v>
      </c>
      <c r="E61" s="33" t="s">
        <v>11</v>
      </c>
      <c r="F61" s="39" t="str">
        <f>'Rest Runsheet Food'!J10</f>
        <v>N/A</v>
      </c>
      <c r="G61" s="39">
        <f>'Rest Runsheet Food'!K10</f>
        <v>0</v>
      </c>
      <c r="H61" s="4"/>
      <c r="I61" s="21"/>
    </row>
    <row r="62" spans="1:9" x14ac:dyDescent="0.3">
      <c r="A62" s="212"/>
      <c r="B62" s="213"/>
      <c r="C62" s="215"/>
      <c r="D62" s="339"/>
      <c r="E62" s="30" t="s">
        <v>9</v>
      </c>
      <c r="F62" s="39" t="str">
        <f>'Rest Runsheet Food'!J11</f>
        <v>N/A</v>
      </c>
      <c r="G62" s="39">
        <f>'Rest Runsheet Food'!K11</f>
        <v>0</v>
      </c>
      <c r="H62" s="4"/>
      <c r="I62" s="21"/>
    </row>
    <row r="63" spans="1:9" x14ac:dyDescent="0.3">
      <c r="A63" s="212"/>
      <c r="B63" s="213"/>
      <c r="C63" s="215"/>
      <c r="D63" s="340"/>
      <c r="E63" s="34" t="s">
        <v>1</v>
      </c>
      <c r="F63" s="39" t="str">
        <f>'Rest Runsheet Food'!J12</f>
        <v>N/A</v>
      </c>
      <c r="G63" s="39">
        <f>'Rest Runsheet Food'!K12</f>
        <v>0</v>
      </c>
      <c r="H63" s="4"/>
      <c r="I63" s="21"/>
    </row>
    <row r="64" spans="1:9" x14ac:dyDescent="0.3">
      <c r="A64" s="212"/>
      <c r="B64" s="213"/>
      <c r="C64" s="215"/>
      <c r="D64" s="19"/>
      <c r="E64" s="4"/>
      <c r="F64" s="4"/>
      <c r="G64" s="4"/>
      <c r="H64" s="4"/>
      <c r="I64" s="21"/>
    </row>
    <row r="65" spans="1:9" x14ac:dyDescent="0.3">
      <c r="A65" s="212"/>
      <c r="B65" s="213"/>
      <c r="C65" s="215"/>
      <c r="D65" s="19"/>
      <c r="E65" s="4"/>
      <c r="F65" s="37" t="s">
        <v>76</v>
      </c>
      <c r="G65" s="38" t="s">
        <v>77</v>
      </c>
      <c r="H65" s="4"/>
      <c r="I65" s="21"/>
    </row>
    <row r="66" spans="1:9" x14ac:dyDescent="0.3">
      <c r="A66" s="212"/>
      <c r="B66" s="213"/>
      <c r="C66" s="215"/>
      <c r="D66" s="341" t="s">
        <v>120</v>
      </c>
      <c r="E66" s="33" t="s">
        <v>11</v>
      </c>
      <c r="F66" s="39" t="str">
        <f>'Rest Runsheet Food'!J20</f>
        <v>N/A</v>
      </c>
      <c r="G66" s="39">
        <f>'Rest Runsheet Food'!K20</f>
        <v>0</v>
      </c>
      <c r="H66" s="4"/>
      <c r="I66" s="21"/>
    </row>
    <row r="67" spans="1:9" x14ac:dyDescent="0.3">
      <c r="A67" s="212"/>
      <c r="B67" s="213"/>
      <c r="C67" s="215"/>
      <c r="D67" s="342"/>
      <c r="E67" s="30" t="s">
        <v>9</v>
      </c>
      <c r="F67" s="39" t="str">
        <f>'Rest Runsheet Food'!J21</f>
        <v>N/A</v>
      </c>
      <c r="G67" s="39">
        <f>'Rest Runsheet Food'!K21</f>
        <v>0</v>
      </c>
      <c r="H67" s="4"/>
      <c r="I67" s="21"/>
    </row>
    <row r="68" spans="1:9" x14ac:dyDescent="0.3">
      <c r="A68" s="212"/>
      <c r="B68" s="213"/>
      <c r="C68" s="215"/>
      <c r="D68" s="343"/>
      <c r="E68" s="34" t="s">
        <v>1</v>
      </c>
      <c r="F68" s="39" t="str">
        <f>'Rest Runsheet Food'!J22</f>
        <v>N/A</v>
      </c>
      <c r="G68" s="39">
        <f>'Rest Runsheet Food'!K22</f>
        <v>0</v>
      </c>
      <c r="H68" s="4"/>
      <c r="I68" s="21"/>
    </row>
    <row r="69" spans="1:9" x14ac:dyDescent="0.3">
      <c r="A69" s="212"/>
      <c r="B69" s="213"/>
      <c r="C69" s="215"/>
      <c r="D69" s="19"/>
      <c r="E69" s="4"/>
      <c r="F69" s="4"/>
      <c r="G69" s="4"/>
      <c r="H69" s="4"/>
      <c r="I69" s="21"/>
    </row>
    <row r="70" spans="1:9" x14ac:dyDescent="0.3">
      <c r="A70" s="212"/>
      <c r="B70" s="213"/>
      <c r="C70" s="215"/>
      <c r="D70" s="19"/>
      <c r="E70" s="4"/>
      <c r="F70" s="37" t="s">
        <v>76</v>
      </c>
      <c r="G70" s="38" t="s">
        <v>77</v>
      </c>
      <c r="H70" s="4"/>
      <c r="I70" s="21"/>
    </row>
    <row r="71" spans="1:9" x14ac:dyDescent="0.3">
      <c r="A71" s="212"/>
      <c r="B71" s="213"/>
      <c r="C71" s="215"/>
      <c r="D71" s="344" t="s">
        <v>123</v>
      </c>
      <c r="E71" s="33" t="s">
        <v>11</v>
      </c>
      <c r="F71" s="39" t="str">
        <f>'Rest Runsheet Food'!J29</f>
        <v>N/A</v>
      </c>
      <c r="G71" s="39">
        <f>'Rest Runsheet Food'!K29</f>
        <v>0</v>
      </c>
      <c r="H71" s="4"/>
      <c r="I71" s="21"/>
    </row>
    <row r="72" spans="1:9" x14ac:dyDescent="0.3">
      <c r="A72" s="212"/>
      <c r="B72" s="213"/>
      <c r="C72" s="215"/>
      <c r="D72" s="345"/>
      <c r="E72" s="30" t="s">
        <v>9</v>
      </c>
      <c r="F72" s="39" t="str">
        <f>'Rest Runsheet Food'!J30</f>
        <v>N/A</v>
      </c>
      <c r="G72" s="39">
        <f>'Rest Runsheet Food'!K30</f>
        <v>0</v>
      </c>
      <c r="H72" s="4"/>
      <c r="I72" s="21"/>
    </row>
    <row r="73" spans="1:9" x14ac:dyDescent="0.3">
      <c r="C73" s="218"/>
      <c r="D73" s="346"/>
      <c r="E73" s="34" t="s">
        <v>1</v>
      </c>
      <c r="F73" s="39" t="str">
        <f>'Rest Runsheet Food'!J31</f>
        <v>N/A</v>
      </c>
      <c r="G73" s="39">
        <f>'Rest Runsheet Food'!K31</f>
        <v>0</v>
      </c>
      <c r="H73" s="4"/>
      <c r="I73" s="21"/>
    </row>
    <row r="74" spans="1:9" x14ac:dyDescent="0.3">
      <c r="C74" s="218"/>
      <c r="D74" s="19"/>
      <c r="E74" s="4"/>
      <c r="F74" s="4"/>
      <c r="G74" s="4"/>
      <c r="H74" s="4"/>
      <c r="I74" s="21"/>
    </row>
    <row r="75" spans="1:9" x14ac:dyDescent="0.3">
      <c r="C75" s="218"/>
      <c r="D75" s="19"/>
      <c r="E75" s="4"/>
      <c r="F75" s="37" t="s">
        <v>76</v>
      </c>
      <c r="G75" s="38" t="s">
        <v>77</v>
      </c>
      <c r="H75" s="4"/>
      <c r="I75" s="21"/>
    </row>
    <row r="76" spans="1:9" x14ac:dyDescent="0.3">
      <c r="C76" s="218"/>
      <c r="D76" s="349" t="s">
        <v>126</v>
      </c>
      <c r="E76" s="33" t="s">
        <v>11</v>
      </c>
      <c r="F76" s="39" t="str">
        <f>'Rest Runsheet Food'!J38</f>
        <v>N/A</v>
      </c>
      <c r="G76" s="39">
        <f>'Rest Runsheet Food'!K38</f>
        <v>0</v>
      </c>
      <c r="H76" s="4"/>
      <c r="I76" s="21"/>
    </row>
    <row r="77" spans="1:9" ht="19.8" customHeight="1" x14ac:dyDescent="0.3">
      <c r="C77" s="218"/>
      <c r="D77" s="350"/>
      <c r="E77" s="30" t="s">
        <v>9</v>
      </c>
      <c r="F77" s="39" t="str">
        <f>'Rest Runsheet Food'!J39</f>
        <v>N/A</v>
      </c>
      <c r="G77" s="39">
        <f>'Rest Runsheet Food'!K39</f>
        <v>0</v>
      </c>
      <c r="H77" s="4"/>
      <c r="I77" s="21"/>
    </row>
    <row r="78" spans="1:9" x14ac:dyDescent="0.3">
      <c r="C78" s="218"/>
      <c r="D78" s="357"/>
      <c r="E78" s="34" t="s">
        <v>1</v>
      </c>
      <c r="F78" s="39" t="str">
        <f>'Rest Runsheet Food'!J40</f>
        <v>N/A</v>
      </c>
      <c r="G78" s="39">
        <f>'Rest Runsheet Food'!K40</f>
        <v>0</v>
      </c>
      <c r="H78" s="4"/>
      <c r="I78" s="21"/>
    </row>
    <row r="79" spans="1:9" x14ac:dyDescent="0.3">
      <c r="C79" s="218"/>
      <c r="D79" s="37"/>
      <c r="E79" s="30"/>
      <c r="F79" s="4"/>
      <c r="G79" s="4"/>
      <c r="H79" s="4"/>
      <c r="I79" s="21"/>
    </row>
    <row r="80" spans="1:9" x14ac:dyDescent="0.3">
      <c r="C80" s="218"/>
      <c r="D80" s="19"/>
      <c r="E80" s="4"/>
      <c r="F80" s="37" t="s">
        <v>76</v>
      </c>
      <c r="G80" s="38" t="s">
        <v>77</v>
      </c>
      <c r="H80" s="4"/>
      <c r="I80" s="21"/>
    </row>
    <row r="81" spans="3:9" x14ac:dyDescent="0.3">
      <c r="C81" s="218"/>
      <c r="D81" s="358" t="s">
        <v>128</v>
      </c>
      <c r="E81" s="33" t="s">
        <v>11</v>
      </c>
      <c r="F81" s="39" t="str">
        <f>'Rest Runsheet Food'!J47</f>
        <v>N/A</v>
      </c>
      <c r="G81" s="39">
        <f>'Rest Runsheet Food'!K47</f>
        <v>0</v>
      </c>
      <c r="H81" s="4"/>
      <c r="I81" s="21"/>
    </row>
    <row r="82" spans="3:9" x14ac:dyDescent="0.3">
      <c r="C82" s="218"/>
      <c r="D82" s="347"/>
      <c r="E82" s="30" t="s">
        <v>9</v>
      </c>
      <c r="F82" s="39" t="str">
        <f>'Rest Runsheet Food'!J48</f>
        <v>N/A</v>
      </c>
      <c r="G82" s="39">
        <f>'Rest Runsheet Food'!K48</f>
        <v>0</v>
      </c>
      <c r="H82" s="4"/>
      <c r="I82" s="21"/>
    </row>
    <row r="83" spans="3:9" x14ac:dyDescent="0.3">
      <c r="C83" s="218"/>
      <c r="D83" s="348"/>
      <c r="E83" s="34" t="s">
        <v>1</v>
      </c>
      <c r="F83" s="39" t="str">
        <f>'Rest Runsheet Food'!J49</f>
        <v>N/A</v>
      </c>
      <c r="G83" s="39">
        <f>'Rest Runsheet Food'!K49</f>
        <v>0</v>
      </c>
      <c r="H83" s="4"/>
      <c r="I83" s="21"/>
    </row>
    <row r="84" spans="3:9" x14ac:dyDescent="0.3">
      <c r="C84" s="218"/>
      <c r="D84" s="37"/>
      <c r="E84" s="30"/>
      <c r="F84" s="4"/>
      <c r="G84" s="4"/>
      <c r="H84" s="4"/>
      <c r="I84" s="21"/>
    </row>
    <row r="85" spans="3:9" x14ac:dyDescent="0.3">
      <c r="C85" s="218"/>
      <c r="D85" s="19"/>
      <c r="E85" s="4"/>
      <c r="F85" s="37" t="s">
        <v>76</v>
      </c>
      <c r="G85" s="38" t="s">
        <v>77</v>
      </c>
      <c r="H85" s="4"/>
      <c r="I85" s="21"/>
    </row>
    <row r="86" spans="3:9" x14ac:dyDescent="0.3">
      <c r="C86" s="218"/>
      <c r="D86" s="335" t="s">
        <v>135</v>
      </c>
      <c r="E86" s="33" t="s">
        <v>11</v>
      </c>
      <c r="F86" s="39" t="str">
        <f>'Rest Runsheet Food'!J57</f>
        <v>N/A</v>
      </c>
      <c r="G86" s="39">
        <f>'Rest Runsheet Food'!K57</f>
        <v>0</v>
      </c>
      <c r="H86" s="4"/>
      <c r="I86" s="21"/>
    </row>
    <row r="87" spans="3:9" x14ac:dyDescent="0.3">
      <c r="C87" s="218"/>
      <c r="D87" s="336"/>
      <c r="E87" s="30" t="s">
        <v>9</v>
      </c>
      <c r="F87" s="39" t="str">
        <f>'Rest Runsheet Food'!J58</f>
        <v>N/A</v>
      </c>
      <c r="G87" s="39">
        <f>'Rest Runsheet Food'!K58</f>
        <v>0</v>
      </c>
      <c r="H87" s="4"/>
      <c r="I87" s="21"/>
    </row>
    <row r="88" spans="3:9" x14ac:dyDescent="0.3">
      <c r="C88" s="218"/>
      <c r="D88" s="337"/>
      <c r="E88" s="34" t="s">
        <v>1</v>
      </c>
      <c r="F88" s="39" t="str">
        <f>'Rest Runsheet Food'!J59</f>
        <v>N/A</v>
      </c>
      <c r="G88" s="39">
        <f>'Rest Runsheet Food'!K59</f>
        <v>0</v>
      </c>
      <c r="H88" s="4"/>
      <c r="I88" s="21"/>
    </row>
    <row r="89" spans="3:9" x14ac:dyDescent="0.3">
      <c r="C89" s="218"/>
      <c r="D89" s="19"/>
      <c r="E89" s="4"/>
      <c r="F89" s="4"/>
      <c r="G89" s="4"/>
      <c r="H89" s="4"/>
      <c r="I89" s="21"/>
    </row>
    <row r="90" spans="3:9" ht="16.2" thickBot="1" x14ac:dyDescent="0.35">
      <c r="C90" s="218"/>
      <c r="D90" s="133"/>
      <c r="E90" s="22"/>
      <c r="F90" s="22"/>
      <c r="G90" s="22"/>
      <c r="H90" s="22"/>
      <c r="I90" s="23"/>
    </row>
    <row r="91" spans="3:9" x14ac:dyDescent="0.3">
      <c r="C91" s="218"/>
    </row>
    <row r="92" spans="3:9" x14ac:dyDescent="0.3">
      <c r="C92" s="218"/>
    </row>
    <row r="93" spans="3:9" x14ac:dyDescent="0.3">
      <c r="C93" s="218"/>
    </row>
    <row r="94" spans="3:9" x14ac:dyDescent="0.3">
      <c r="C94" s="218"/>
    </row>
    <row r="95" spans="3:9" x14ac:dyDescent="0.3">
      <c r="C95" s="218"/>
    </row>
    <row r="96" spans="3:9" x14ac:dyDescent="0.3">
      <c r="C96" s="218"/>
    </row>
    <row r="97" spans="3:3" x14ac:dyDescent="0.3">
      <c r="C97" s="218"/>
    </row>
    <row r="98" spans="3:3" x14ac:dyDescent="0.3">
      <c r="C98" s="218"/>
    </row>
    <row r="99" spans="3:3" x14ac:dyDescent="0.3">
      <c r="C99" s="218"/>
    </row>
    <row r="100" spans="3:3" x14ac:dyDescent="0.3">
      <c r="C100" s="218"/>
    </row>
    <row r="101" spans="3:3" x14ac:dyDescent="0.3">
      <c r="C101" s="218"/>
    </row>
    <row r="102" spans="3:3" x14ac:dyDescent="0.3">
      <c r="C102" s="218"/>
    </row>
    <row r="103" spans="3:3" x14ac:dyDescent="0.3">
      <c r="C103" s="218"/>
    </row>
    <row r="104" spans="3:3" x14ac:dyDescent="0.3">
      <c r="C104" s="218"/>
    </row>
    <row r="105" spans="3:3" x14ac:dyDescent="0.3">
      <c r="C105" s="218"/>
    </row>
    <row r="106" spans="3:3" x14ac:dyDescent="0.3">
      <c r="C106" s="218"/>
    </row>
    <row r="107" spans="3:3" x14ac:dyDescent="0.3">
      <c r="C107" s="218"/>
    </row>
    <row r="108" spans="3:3" x14ac:dyDescent="0.3">
      <c r="C108" s="218"/>
    </row>
    <row r="109" spans="3:3" x14ac:dyDescent="0.3">
      <c r="C109" s="218"/>
    </row>
    <row r="110" spans="3:3" x14ac:dyDescent="0.3">
      <c r="C110" s="218"/>
    </row>
    <row r="111" spans="3:3" x14ac:dyDescent="0.3">
      <c r="C111" s="218"/>
    </row>
    <row r="112" spans="3:3" x14ac:dyDescent="0.3">
      <c r="C112" s="218"/>
    </row>
    <row r="113" spans="3:3" x14ac:dyDescent="0.3">
      <c r="C113" s="218"/>
    </row>
    <row r="114" spans="3:3" x14ac:dyDescent="0.3">
      <c r="C114" s="218"/>
    </row>
    <row r="115" spans="3:3" x14ac:dyDescent="0.3">
      <c r="C115" s="218"/>
    </row>
    <row r="116" spans="3:3" x14ac:dyDescent="0.3">
      <c r="C116" s="218"/>
    </row>
    <row r="117" spans="3:3" x14ac:dyDescent="0.3">
      <c r="C117" s="218"/>
    </row>
    <row r="118" spans="3:3" x14ac:dyDescent="0.3">
      <c r="C118" s="218"/>
    </row>
    <row r="119" spans="3:3" x14ac:dyDescent="0.3">
      <c r="C119" s="218"/>
    </row>
    <row r="120" spans="3:3" x14ac:dyDescent="0.3">
      <c r="C120" s="218"/>
    </row>
    <row r="121" spans="3:3" x14ac:dyDescent="0.3">
      <c r="C121" s="218"/>
    </row>
    <row r="122" spans="3:3" x14ac:dyDescent="0.3">
      <c r="C122" s="218"/>
    </row>
    <row r="123" spans="3:3" x14ac:dyDescent="0.3">
      <c r="C123" s="218"/>
    </row>
    <row r="124" spans="3:3" x14ac:dyDescent="0.3">
      <c r="C124" s="218"/>
    </row>
    <row r="125" spans="3:3" x14ac:dyDescent="0.3">
      <c r="C125" s="218"/>
    </row>
    <row r="126" spans="3:3" x14ac:dyDescent="0.3">
      <c r="C126" s="218"/>
    </row>
    <row r="127" spans="3:3" x14ac:dyDescent="0.3">
      <c r="C127" s="218"/>
    </row>
    <row r="128" spans="3:3" x14ac:dyDescent="0.3">
      <c r="C128" s="218"/>
    </row>
    <row r="129" spans="3:3" x14ac:dyDescent="0.3">
      <c r="C129" s="218"/>
    </row>
    <row r="130" spans="3:3" x14ac:dyDescent="0.3">
      <c r="C130" s="218"/>
    </row>
    <row r="131" spans="3:3" x14ac:dyDescent="0.3">
      <c r="C131" s="218"/>
    </row>
    <row r="132" spans="3:3" x14ac:dyDescent="0.3">
      <c r="C132" s="218"/>
    </row>
    <row r="133" spans="3:3" x14ac:dyDescent="0.3">
      <c r="C133" s="218"/>
    </row>
    <row r="134" spans="3:3" x14ac:dyDescent="0.3">
      <c r="C134" s="218"/>
    </row>
    <row r="135" spans="3:3" x14ac:dyDescent="0.3">
      <c r="C135" s="218"/>
    </row>
    <row r="136" spans="3:3" x14ac:dyDescent="0.3">
      <c r="C136" s="218"/>
    </row>
    <row r="137" spans="3:3" x14ac:dyDescent="0.3">
      <c r="C137" s="218"/>
    </row>
    <row r="138" spans="3:3" x14ac:dyDescent="0.3">
      <c r="C138" s="218"/>
    </row>
    <row r="139" spans="3:3" x14ac:dyDescent="0.3">
      <c r="C139" s="218"/>
    </row>
    <row r="140" spans="3:3" x14ac:dyDescent="0.3">
      <c r="C140" s="218"/>
    </row>
    <row r="141" spans="3:3" x14ac:dyDescent="0.3">
      <c r="C141" s="218"/>
    </row>
    <row r="142" spans="3:3" x14ac:dyDescent="0.3">
      <c r="C142" s="218"/>
    </row>
    <row r="143" spans="3:3" x14ac:dyDescent="0.3">
      <c r="C143" s="218"/>
    </row>
    <row r="144" spans="3:3" x14ac:dyDescent="0.3">
      <c r="C144" s="218"/>
    </row>
    <row r="145" spans="3:3" x14ac:dyDescent="0.3">
      <c r="C145" s="218"/>
    </row>
    <row r="146" spans="3:3" x14ac:dyDescent="0.3">
      <c r="C146" s="218"/>
    </row>
    <row r="147" spans="3:3" x14ac:dyDescent="0.3">
      <c r="C147" s="218"/>
    </row>
    <row r="148" spans="3:3" x14ac:dyDescent="0.3">
      <c r="C148" s="218"/>
    </row>
    <row r="149" spans="3:3" x14ac:dyDescent="0.3">
      <c r="C149" s="218"/>
    </row>
    <row r="150" spans="3:3" x14ac:dyDescent="0.3">
      <c r="C150" s="218"/>
    </row>
    <row r="151" spans="3:3" x14ac:dyDescent="0.3">
      <c r="C151" s="218"/>
    </row>
    <row r="152" spans="3:3" x14ac:dyDescent="0.3">
      <c r="C152" s="218"/>
    </row>
    <row r="153" spans="3:3" x14ac:dyDescent="0.3">
      <c r="C153" s="218"/>
    </row>
    <row r="154" spans="3:3" x14ac:dyDescent="0.3">
      <c r="C154" s="218"/>
    </row>
    <row r="155" spans="3:3" x14ac:dyDescent="0.3">
      <c r="C155" s="218"/>
    </row>
    <row r="156" spans="3:3" x14ac:dyDescent="0.3">
      <c r="C156" s="218"/>
    </row>
    <row r="157" spans="3:3" x14ac:dyDescent="0.3">
      <c r="C157" s="218"/>
    </row>
    <row r="158" spans="3:3" x14ac:dyDescent="0.3">
      <c r="C158" s="218"/>
    </row>
    <row r="159" spans="3:3" x14ac:dyDescent="0.3">
      <c r="C159" s="218"/>
    </row>
    <row r="160" spans="3:3" x14ac:dyDescent="0.3">
      <c r="C160" s="218"/>
    </row>
    <row r="161" spans="3:3" x14ac:dyDescent="0.3">
      <c r="C161" s="218"/>
    </row>
    <row r="162" spans="3:3" x14ac:dyDescent="0.3">
      <c r="C162" s="218"/>
    </row>
    <row r="163" spans="3:3" x14ac:dyDescent="0.3">
      <c r="C163" s="218"/>
    </row>
    <row r="164" spans="3:3" x14ac:dyDescent="0.3">
      <c r="C164" s="218"/>
    </row>
    <row r="165" spans="3:3" x14ac:dyDescent="0.3">
      <c r="C165" s="218"/>
    </row>
    <row r="166" spans="3:3" x14ac:dyDescent="0.3">
      <c r="C166" s="218"/>
    </row>
    <row r="167" spans="3:3" x14ac:dyDescent="0.3">
      <c r="C167" s="218"/>
    </row>
    <row r="168" spans="3:3" x14ac:dyDescent="0.3">
      <c r="C168" s="218"/>
    </row>
    <row r="169" spans="3:3" x14ac:dyDescent="0.3">
      <c r="C169" s="218"/>
    </row>
    <row r="170" spans="3:3" x14ac:dyDescent="0.3">
      <c r="C170" s="218"/>
    </row>
    <row r="171" spans="3:3" x14ac:dyDescent="0.3">
      <c r="C171" s="218"/>
    </row>
    <row r="172" spans="3:3" x14ac:dyDescent="0.3">
      <c r="C172" s="218"/>
    </row>
    <row r="173" spans="3:3" x14ac:dyDescent="0.3">
      <c r="C173" s="218"/>
    </row>
    <row r="174" spans="3:3" x14ac:dyDescent="0.3">
      <c r="C174" s="218"/>
    </row>
    <row r="175" spans="3:3" x14ac:dyDescent="0.3">
      <c r="C175" s="218"/>
    </row>
    <row r="176" spans="3:3" x14ac:dyDescent="0.3">
      <c r="C176" s="218"/>
    </row>
    <row r="177" spans="3:3" x14ac:dyDescent="0.3">
      <c r="C177" s="218"/>
    </row>
    <row r="178" spans="3:3" x14ac:dyDescent="0.3">
      <c r="C178" s="218"/>
    </row>
    <row r="179" spans="3:3" x14ac:dyDescent="0.3">
      <c r="C179" s="218"/>
    </row>
    <row r="180" spans="3:3" x14ac:dyDescent="0.3">
      <c r="C180" s="218"/>
    </row>
    <row r="181" spans="3:3" x14ac:dyDescent="0.3">
      <c r="C181" s="218"/>
    </row>
    <row r="182" spans="3:3" x14ac:dyDescent="0.3">
      <c r="C182" s="218"/>
    </row>
    <row r="183" spans="3:3" x14ac:dyDescent="0.3">
      <c r="C183" s="218"/>
    </row>
    <row r="184" spans="3:3" x14ac:dyDescent="0.3">
      <c r="C184" s="218"/>
    </row>
    <row r="185" spans="3:3" x14ac:dyDescent="0.3">
      <c r="C185" s="218"/>
    </row>
    <row r="186" spans="3:3" x14ac:dyDescent="0.3">
      <c r="C186" s="218"/>
    </row>
    <row r="187" spans="3:3" x14ac:dyDescent="0.3">
      <c r="C187" s="218"/>
    </row>
    <row r="188" spans="3:3" x14ac:dyDescent="0.3">
      <c r="C188" s="218"/>
    </row>
    <row r="189" spans="3:3" x14ac:dyDescent="0.3">
      <c r="C189" s="218"/>
    </row>
    <row r="190" spans="3:3" x14ac:dyDescent="0.3">
      <c r="C190" s="218"/>
    </row>
    <row r="191" spans="3:3" x14ac:dyDescent="0.3">
      <c r="C191" s="218"/>
    </row>
    <row r="192" spans="3:3" x14ac:dyDescent="0.3">
      <c r="C192" s="218"/>
    </row>
    <row r="193" spans="3:3" x14ac:dyDescent="0.3">
      <c r="C193" s="218"/>
    </row>
    <row r="194" spans="3:3" x14ac:dyDescent="0.3">
      <c r="C194" s="218"/>
    </row>
    <row r="195" spans="3:3" x14ac:dyDescent="0.3">
      <c r="C195" s="218"/>
    </row>
    <row r="196" spans="3:3" x14ac:dyDescent="0.3">
      <c r="C196" s="218"/>
    </row>
    <row r="197" spans="3:3" x14ac:dyDescent="0.3">
      <c r="C197" s="218"/>
    </row>
    <row r="198" spans="3:3" x14ac:dyDescent="0.3">
      <c r="C198" s="218"/>
    </row>
    <row r="199" spans="3:3" x14ac:dyDescent="0.3">
      <c r="C199" s="218"/>
    </row>
    <row r="200" spans="3:3" x14ac:dyDescent="0.3">
      <c r="C200" s="218"/>
    </row>
    <row r="201" spans="3:3" x14ac:dyDescent="0.3">
      <c r="C201" s="218"/>
    </row>
    <row r="202" spans="3:3" x14ac:dyDescent="0.3">
      <c r="C202" s="218"/>
    </row>
    <row r="203" spans="3:3" x14ac:dyDescent="0.3">
      <c r="C203" s="218"/>
    </row>
    <row r="204" spans="3:3" x14ac:dyDescent="0.3">
      <c r="C204" s="218"/>
    </row>
    <row r="205" spans="3:3" x14ac:dyDescent="0.3">
      <c r="C205" s="218"/>
    </row>
    <row r="206" spans="3:3" x14ac:dyDescent="0.3">
      <c r="C206" s="218"/>
    </row>
    <row r="207" spans="3:3" x14ac:dyDescent="0.3">
      <c r="C207" s="218"/>
    </row>
    <row r="208" spans="3:3" x14ac:dyDescent="0.3">
      <c r="C208" s="218"/>
    </row>
    <row r="209" spans="3:3" x14ac:dyDescent="0.3">
      <c r="C209" s="218"/>
    </row>
    <row r="210" spans="3:3" x14ac:dyDescent="0.3">
      <c r="C210" s="218"/>
    </row>
    <row r="211" spans="3:3" x14ac:dyDescent="0.3">
      <c r="C211" s="218"/>
    </row>
    <row r="212" spans="3:3" x14ac:dyDescent="0.3">
      <c r="C212" s="218"/>
    </row>
    <row r="213" spans="3:3" x14ac:dyDescent="0.3">
      <c r="C213" s="218"/>
    </row>
    <row r="214" spans="3:3" x14ac:dyDescent="0.3">
      <c r="C214" s="218"/>
    </row>
    <row r="215" spans="3:3" x14ac:dyDescent="0.3">
      <c r="C215" s="218"/>
    </row>
    <row r="216" spans="3:3" x14ac:dyDescent="0.3">
      <c r="C216" s="218"/>
    </row>
    <row r="217" spans="3:3" x14ac:dyDescent="0.3">
      <c r="C217" s="218"/>
    </row>
    <row r="218" spans="3:3" x14ac:dyDescent="0.3">
      <c r="C218" s="218"/>
    </row>
    <row r="219" spans="3:3" x14ac:dyDescent="0.3">
      <c r="C219" s="218"/>
    </row>
    <row r="220" spans="3:3" x14ac:dyDescent="0.3">
      <c r="C220" s="218"/>
    </row>
    <row r="221" spans="3:3" x14ac:dyDescent="0.3">
      <c r="C221" s="218"/>
    </row>
    <row r="222" spans="3:3" x14ac:dyDescent="0.3">
      <c r="C222" s="218"/>
    </row>
    <row r="223" spans="3:3" x14ac:dyDescent="0.3">
      <c r="C223" s="218"/>
    </row>
    <row r="224" spans="3:3" x14ac:dyDescent="0.3">
      <c r="C224" s="218"/>
    </row>
    <row r="225" spans="3:3" x14ac:dyDescent="0.3">
      <c r="C225" s="218"/>
    </row>
    <row r="226" spans="3:3" x14ac:dyDescent="0.3">
      <c r="C226" s="218"/>
    </row>
    <row r="227" spans="3:3" x14ac:dyDescent="0.3">
      <c r="C227" s="218"/>
    </row>
    <row r="228" spans="3:3" x14ac:dyDescent="0.3">
      <c r="C228" s="218"/>
    </row>
    <row r="229" spans="3:3" x14ac:dyDescent="0.3">
      <c r="C229" s="218"/>
    </row>
    <row r="230" spans="3:3" x14ac:dyDescent="0.3">
      <c r="C230" s="218"/>
    </row>
    <row r="231" spans="3:3" x14ac:dyDescent="0.3">
      <c r="C231" s="218"/>
    </row>
    <row r="232" spans="3:3" x14ac:dyDescent="0.3">
      <c r="C232" s="218"/>
    </row>
    <row r="233" spans="3:3" x14ac:dyDescent="0.3">
      <c r="C233" s="218"/>
    </row>
    <row r="234" spans="3:3" x14ac:dyDescent="0.3">
      <c r="C234" s="218"/>
    </row>
    <row r="235" spans="3:3" x14ac:dyDescent="0.3">
      <c r="C235" s="218"/>
    </row>
    <row r="236" spans="3:3" x14ac:dyDescent="0.3">
      <c r="C236" s="218"/>
    </row>
    <row r="237" spans="3:3" x14ac:dyDescent="0.3">
      <c r="C237" s="218"/>
    </row>
    <row r="238" spans="3:3" x14ac:dyDescent="0.3">
      <c r="C238" s="218"/>
    </row>
    <row r="239" spans="3:3" x14ac:dyDescent="0.3">
      <c r="C239" s="218"/>
    </row>
    <row r="240" spans="3:3" x14ac:dyDescent="0.3">
      <c r="C240" s="218"/>
    </row>
    <row r="241" spans="3:3" x14ac:dyDescent="0.3">
      <c r="C241" s="218"/>
    </row>
    <row r="242" spans="3:3" x14ac:dyDescent="0.3">
      <c r="C242" s="218"/>
    </row>
    <row r="243" spans="3:3" x14ac:dyDescent="0.3">
      <c r="C243" s="218"/>
    </row>
    <row r="244" spans="3:3" x14ac:dyDescent="0.3">
      <c r="C244" s="218"/>
    </row>
    <row r="245" spans="3:3" x14ac:dyDescent="0.3">
      <c r="C245" s="218"/>
    </row>
    <row r="246" spans="3:3" x14ac:dyDescent="0.3">
      <c r="C246" s="218"/>
    </row>
    <row r="247" spans="3:3" x14ac:dyDescent="0.3">
      <c r="C247" s="218"/>
    </row>
    <row r="248" spans="3:3" x14ac:dyDescent="0.3">
      <c r="C248" s="218"/>
    </row>
    <row r="249" spans="3:3" x14ac:dyDescent="0.3">
      <c r="C249" s="218"/>
    </row>
    <row r="250" spans="3:3" x14ac:dyDescent="0.3">
      <c r="C250" s="218"/>
    </row>
    <row r="251" spans="3:3" x14ac:dyDescent="0.3">
      <c r="C251" s="218"/>
    </row>
    <row r="252" spans="3:3" x14ac:dyDescent="0.3">
      <c r="C252" s="218"/>
    </row>
    <row r="253" spans="3:3" x14ac:dyDescent="0.3">
      <c r="C253" s="218"/>
    </row>
    <row r="254" spans="3:3" x14ac:dyDescent="0.3">
      <c r="C254" s="218"/>
    </row>
    <row r="255" spans="3:3" x14ac:dyDescent="0.3">
      <c r="C255" s="218"/>
    </row>
    <row r="256" spans="3:3" x14ac:dyDescent="0.3">
      <c r="C256" s="218"/>
    </row>
    <row r="257" spans="3:3" x14ac:dyDescent="0.3">
      <c r="C257" s="218"/>
    </row>
    <row r="258" spans="3:3" x14ac:dyDescent="0.3">
      <c r="C258" s="218"/>
    </row>
    <row r="259" spans="3:3" x14ac:dyDescent="0.3">
      <c r="C259" s="218"/>
    </row>
  </sheetData>
  <mergeCells count="47">
    <mergeCell ref="D42:I42"/>
    <mergeCell ref="E1:G1"/>
    <mergeCell ref="E2:G2"/>
    <mergeCell ref="D4:I4"/>
    <mergeCell ref="D18:I18"/>
    <mergeCell ref="D26:I26"/>
    <mergeCell ref="D28:D29"/>
    <mergeCell ref="D30:D31"/>
    <mergeCell ref="D32:D33"/>
    <mergeCell ref="D34:D35"/>
    <mergeCell ref="D36:D37"/>
    <mergeCell ref="D38:D39"/>
    <mergeCell ref="D40:D41"/>
    <mergeCell ref="D44:D45"/>
    <mergeCell ref="E44:I45"/>
    <mergeCell ref="D46:D47"/>
    <mergeCell ref="E46:I47"/>
    <mergeCell ref="D48:D49"/>
    <mergeCell ref="E48:I49"/>
    <mergeCell ref="D71:D73"/>
    <mergeCell ref="D76:D78"/>
    <mergeCell ref="D81:D83"/>
    <mergeCell ref="D86:D88"/>
    <mergeCell ref="D51:I51"/>
    <mergeCell ref="D52:I53"/>
    <mergeCell ref="D54:I55"/>
    <mergeCell ref="D60:I60"/>
    <mergeCell ref="D61:D63"/>
    <mergeCell ref="D66:D68"/>
    <mergeCell ref="D56:I56"/>
    <mergeCell ref="B2:B3"/>
    <mergeCell ref="B5:B6"/>
    <mergeCell ref="B8:B9"/>
    <mergeCell ref="B11:B12"/>
    <mergeCell ref="B14:B15"/>
    <mergeCell ref="B47:B48"/>
    <mergeCell ref="B50:B51"/>
    <mergeCell ref="B17:B18"/>
    <mergeCell ref="B20:B21"/>
    <mergeCell ref="B23:B24"/>
    <mergeCell ref="B26:B27"/>
    <mergeCell ref="B29:B30"/>
    <mergeCell ref="B32:B33"/>
    <mergeCell ref="B35:B36"/>
    <mergeCell ref="B38:B39"/>
    <mergeCell ref="B41:B42"/>
    <mergeCell ref="B44:B45"/>
  </mergeCells>
  <hyperlinks>
    <hyperlink ref="B2" location="Panel!C4" display="HOME" xr:uid="{108E6C71-E0D9-4F7B-B3C6-4D1D9B1FC6AC}"/>
    <hyperlink ref="B5" location="Panel!C4" display="HOME" xr:uid="{52F54D1E-49C3-41FF-9D43-376E7FB2A245}"/>
    <hyperlink ref="B17" location="Panel!C4" display="HOME" xr:uid="{ACFB187E-635C-4576-BD0B-74AE23C8C117}"/>
    <hyperlink ref="B20" location="Panel!C4" display="HOME" xr:uid="{E2B447C4-A52C-4612-B0DE-05B063E99CF6}"/>
    <hyperlink ref="B23" location="Panel!C4" display="HOME" xr:uid="{C3A59B36-D119-4EB0-8A5F-18BAA8DCEE08}"/>
    <hyperlink ref="B5:B6" location="data_formula_legend!A1" display="DATA" xr:uid="{E16728DA-D2AF-4008-90D4-45B424BD8D1F}"/>
    <hyperlink ref="B17:B18" location="day_1!A1" display="DAY 1" xr:uid="{00D5A101-4491-44A1-9262-7D4D2E09B313}"/>
    <hyperlink ref="B8" location="Panel!C4" display="HOME" xr:uid="{8CCA1031-4EFD-4BC8-A9D4-C8AF1F4B4120}"/>
    <hyperlink ref="B8:B9" location="Runsheet!A1" display="RUNSHEET" xr:uid="{75166C00-B40F-4521-B9CD-20E417D4531E}"/>
    <hyperlink ref="B20:B21" location="day_2!A1" display="DAY 2" xr:uid="{5B883218-DFD8-4CF7-B7E2-1712F4ACCF34}"/>
    <hyperlink ref="B23:B24" location="day_3!A1" display="DAY 3" xr:uid="{4DBF9742-77DB-4D9F-9441-4090A0E461EB}"/>
    <hyperlink ref="B2:B3" location="HOME!A1" display="HOME" xr:uid="{0C2DC5D0-1343-424C-AFAD-5B0FAE289B8F}"/>
    <hyperlink ref="B26" location="Panel!C4" display="HOME" xr:uid="{7A8A7FF6-ED7C-49C9-9ECF-4886F91FEFF2}"/>
    <hyperlink ref="B26:B27" location="day_5!A1" display="DAY 4" xr:uid="{315B43EC-109C-49FB-A6A2-AB59F07F650D}"/>
    <hyperlink ref="B29" location="Panel!C4" display="HOME" xr:uid="{B8BA63AB-DE46-4E2E-B463-0EFB879976B2}"/>
    <hyperlink ref="B29:B30" location="day_5!A1" display="DAY 5" xr:uid="{593D9B83-5886-466C-B988-17AE6FB110EC}"/>
    <hyperlink ref="B32" location="Panel!C4" display="HOME" xr:uid="{072F41E2-C57A-44E0-95ED-D9F0FCDE3AF2}"/>
    <hyperlink ref="B32:B33" location="day_6!A1" display="DAY 6" xr:uid="{9E96A4F1-AF96-4228-A449-4F2DE5F6F37D}"/>
    <hyperlink ref="B14:B15" location="'Food Serves'!A1" display="FOOD SERVES" xr:uid="{381497DC-A2E2-4E59-A82C-78D6569E36D4}"/>
    <hyperlink ref="B11:B12" location="'Rest Runsheet Food'!A1" display="RESTAURANT RUNSHEET" xr:uid="{E40601F1-6159-4B9D-AF8B-479865E6E217}"/>
    <hyperlink ref="B14" location="Panel!C4" display="HOME" xr:uid="{1AFF6286-3893-483C-855C-00CC1A653EF7}"/>
    <hyperlink ref="B11" location="Panel!C4" display="HOME" xr:uid="{0A1EDF93-58AB-48F1-882D-C12D98DC6A27}"/>
    <hyperlink ref="B35" location="Panel!C4" display="HOME" xr:uid="{E0F966E7-0A8C-456B-9027-130ED4CE0937}"/>
    <hyperlink ref="B35:B36" location="day_7!A1" display="DAY 7" xr:uid="{9A584552-4D52-4BD2-8D0C-5294F05C2FBC}"/>
    <hyperlink ref="B38" location="Panel!C4" display="HOME" xr:uid="{F1E432FC-3AA5-470D-8E33-9962813C437F}"/>
    <hyperlink ref="B38:B39" location="day_8!A1" display="DAY 8" xr:uid="{34596E60-D652-4683-BAF0-4E4FBDC920F9}"/>
    <hyperlink ref="B41" location="Panel!C4" display="HOME" xr:uid="{D912C264-8A99-4C3E-A947-9095DEEE6BF7}"/>
    <hyperlink ref="B41:B42" location="day_9!A1" display="DAY 9" xr:uid="{E33C18F1-91F5-49C0-B20B-9FAC2CDBC975}"/>
    <hyperlink ref="B44" location="Panel!C4" display="HOME" xr:uid="{600B2A21-ABD7-4AE0-9349-B42B12C8D475}"/>
    <hyperlink ref="B44:B45" location="day_10!A1" display="DAY 10" xr:uid="{F054A39F-9942-4F00-A085-1A096FDAE853}"/>
    <hyperlink ref="B47" location="Panel!C4" display="HOME" xr:uid="{C84CADD5-D1C1-46DE-8B31-87282E61DFBF}"/>
    <hyperlink ref="B47:B48" location="day_11!A1" display="DAY 11" xr:uid="{483B6F3F-38A3-4524-A549-AA0509FD6705}"/>
    <hyperlink ref="B50" location="Panel!C4" display="HOME" xr:uid="{33C79920-A670-4BA9-8731-E15E1394345D}"/>
    <hyperlink ref="B50:B51" location="day_12!A1" display="DAY 12" xr:uid="{1FA1563D-EF0C-4FA5-91A4-5756E8EC5DC8}"/>
  </hyperlinks>
  <pageMargins left="0.25" right="0.25" top="0.75" bottom="0.75" header="0.3" footer="0.3"/>
  <pageSetup paperSize="9" scale="5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C2DAD-2A22-439C-A402-5A0C301710DB}">
  <sheetPr codeName="Sheet12">
    <pageSetUpPr fitToPage="1"/>
  </sheetPr>
  <dimension ref="A1:I259"/>
  <sheetViews>
    <sheetView workbookViewId="0">
      <selection activeCell="B11" sqref="B11:B12"/>
    </sheetView>
  </sheetViews>
  <sheetFormatPr defaultRowHeight="15.6" x14ac:dyDescent="0.3"/>
  <cols>
    <col min="1" max="1" width="1.77734375" style="216" customWidth="1"/>
    <col min="2" max="2" width="15.77734375" style="217" customWidth="1"/>
    <col min="3" max="3" width="1.77734375" style="216" customWidth="1"/>
    <col min="4" max="4" width="43.77734375" bestFit="1" customWidth="1"/>
    <col min="5" max="5" width="22.6640625" bestFit="1" customWidth="1"/>
    <col min="6" max="6" width="40.44140625" bestFit="1" customWidth="1"/>
    <col min="7" max="7" width="23.109375" bestFit="1" customWidth="1"/>
    <col min="8" max="8" width="27.21875" bestFit="1" customWidth="1"/>
    <col min="9" max="9" width="13.6640625" bestFit="1" customWidth="1"/>
  </cols>
  <sheetData>
    <row r="1" spans="1:9" ht="16.2" thickBot="1" x14ac:dyDescent="0.35">
      <c r="A1" s="212"/>
      <c r="B1" s="213"/>
      <c r="C1" s="212"/>
      <c r="D1" s="16"/>
      <c r="E1" s="351" t="str">
        <f>Runsheet!AC7</f>
        <v>Day 4</v>
      </c>
      <c r="F1" s="351"/>
      <c r="G1" s="351"/>
      <c r="H1" s="17"/>
      <c r="I1" s="18"/>
    </row>
    <row r="2" spans="1:9" ht="15" customHeight="1" thickTop="1" x14ac:dyDescent="0.3">
      <c r="A2" s="212"/>
      <c r="B2" s="318" t="s">
        <v>264</v>
      </c>
      <c r="C2" s="212"/>
      <c r="D2" s="19"/>
      <c r="E2" s="352">
        <f>Runsheet!AC6</f>
        <v>44789</v>
      </c>
      <c r="F2" s="352"/>
      <c r="G2" s="352"/>
      <c r="H2" s="4"/>
      <c r="I2" s="21"/>
    </row>
    <row r="3" spans="1:9" ht="15" customHeight="1" thickBot="1" x14ac:dyDescent="0.35">
      <c r="A3" s="212"/>
      <c r="B3" s="319"/>
      <c r="C3" s="212"/>
      <c r="D3" s="19"/>
      <c r="E3" s="127"/>
      <c r="F3" s="127"/>
      <c r="G3" s="127"/>
      <c r="H3" s="4"/>
      <c r="I3" s="21"/>
    </row>
    <row r="4" spans="1:9" ht="16.8" thickTop="1" thickBot="1" x14ac:dyDescent="0.35">
      <c r="A4" s="212"/>
      <c r="B4" s="213"/>
      <c r="C4" s="212"/>
      <c r="D4" s="354" t="s">
        <v>179</v>
      </c>
      <c r="E4" s="355"/>
      <c r="F4" s="355"/>
      <c r="G4" s="355"/>
      <c r="H4" s="355"/>
      <c r="I4" s="356"/>
    </row>
    <row r="5" spans="1:9" ht="15" customHeight="1" thickTop="1" x14ac:dyDescent="0.3">
      <c r="A5" s="212"/>
      <c r="B5" s="320" t="s">
        <v>247</v>
      </c>
      <c r="C5" s="212"/>
      <c r="D5" s="136" t="s">
        <v>37</v>
      </c>
      <c r="E5" s="136" t="s">
        <v>190</v>
      </c>
      <c r="F5" s="136" t="s">
        <v>195</v>
      </c>
      <c r="G5" s="136" t="s">
        <v>200</v>
      </c>
      <c r="H5" s="4"/>
      <c r="I5" s="21"/>
    </row>
    <row r="6" spans="1:9" ht="15" customHeight="1" thickBot="1" x14ac:dyDescent="0.35">
      <c r="A6" s="212"/>
      <c r="B6" s="321"/>
      <c r="C6" s="212"/>
      <c r="D6" s="137" t="str">
        <f>guest_lists[[#This Row],[tour_type]]</f>
        <v>12 - DPCYT</v>
      </c>
      <c r="E6" s="137" t="str">
        <f>guest_lists[[#This Row],[guest_lists]]</f>
        <v>Penelope Lister</v>
      </c>
      <c r="F6" s="137" t="str">
        <f>guest_lists[[#This Row],[party]]</f>
        <v>party_1 G1</v>
      </c>
      <c r="G6" s="137" t="str">
        <f>guest_lists[[#This Row],[dietary_requirements2]]</f>
        <v>nil</v>
      </c>
      <c r="H6" s="4"/>
      <c r="I6" s="21"/>
    </row>
    <row r="7" spans="1:9" ht="16.8" thickTop="1" thickBot="1" x14ac:dyDescent="0.35">
      <c r="A7" s="214"/>
      <c r="B7" s="213"/>
      <c r="C7" s="214"/>
      <c r="D7" s="137" t="str">
        <f>guest_lists[[#This Row],[tour_type]]</f>
        <v>12 - DPCYT</v>
      </c>
      <c r="E7" s="137" t="str">
        <f>guest_lists[[#This Row],[guest_lists]]</f>
        <v>Gerald Lister</v>
      </c>
      <c r="F7" s="137" t="str">
        <f>guest_lists[[#This Row],[party]]</f>
        <v>party_1 G2</v>
      </c>
      <c r="G7" s="137" t="str">
        <f>guest_lists[[#This Row],[dietary_requirements2]]</f>
        <v>nil</v>
      </c>
      <c r="H7" s="4"/>
      <c r="I7" s="21"/>
    </row>
    <row r="8" spans="1:9" ht="15" customHeight="1" thickTop="1" x14ac:dyDescent="0.3">
      <c r="A8" s="212"/>
      <c r="B8" s="318" t="s">
        <v>265</v>
      </c>
      <c r="C8" s="212"/>
      <c r="D8" s="137" t="str">
        <f>guest_lists[[#This Row],[tour_type]]</f>
        <v>12 - DPCYT</v>
      </c>
      <c r="E8" s="137" t="str">
        <f>guest_lists[[#This Row],[guest_lists]]</f>
        <v>Denis Lister</v>
      </c>
      <c r="F8" s="137" t="str">
        <f>guest_lists[[#This Row],[party]]</f>
        <v>party_2 G1</v>
      </c>
      <c r="G8" s="137" t="str">
        <f>guest_lists[[#This Row],[dietary_requirements2]]</f>
        <v>nil</v>
      </c>
      <c r="H8" s="4"/>
      <c r="I8" s="21"/>
    </row>
    <row r="9" spans="1:9" ht="15" customHeight="1" thickBot="1" x14ac:dyDescent="0.35">
      <c r="A9" s="212"/>
      <c r="B9" s="319"/>
      <c r="C9" s="215"/>
      <c r="D9" s="137" t="str">
        <f>guest_lists[[#This Row],[tour_type]]</f>
        <v>12 - DSCYT</v>
      </c>
      <c r="E9" s="137" t="str">
        <f>guest_lists[[#This Row],[guest_lists]]</f>
        <v>Mark Morgan</v>
      </c>
      <c r="F9" s="137" t="str">
        <f>guest_lists[[#This Row],[party]]</f>
        <v>party_3 G1</v>
      </c>
      <c r="G9" s="137" t="str">
        <f>guest_lists[[#This Row],[dietary_requirements2]]</f>
        <v>nil</v>
      </c>
      <c r="H9" s="4"/>
      <c r="I9" s="21"/>
    </row>
    <row r="10" spans="1:9" ht="16.8" thickTop="1" thickBot="1" x14ac:dyDescent="0.35">
      <c r="A10" s="212"/>
      <c r="B10" s="213"/>
      <c r="C10" s="215"/>
      <c r="D10" s="137" t="str">
        <f>guest_lists[[#This Row],[tour_type]]</f>
        <v>12 - DSCYT</v>
      </c>
      <c r="E10" s="137" t="str">
        <f>guest_lists[[#This Row],[guest_lists]]</f>
        <v>Nicola Morgan</v>
      </c>
      <c r="F10" s="137" t="str">
        <f>guest_lists[[#This Row],[party]]</f>
        <v>party_3 G2</v>
      </c>
      <c r="G10" s="137" t="str">
        <f>guest_lists[[#This Row],[dietary_requirements2]]</f>
        <v>nil</v>
      </c>
      <c r="H10" s="4"/>
      <c r="I10" s="21"/>
    </row>
    <row r="11" spans="1:9" ht="15" customHeight="1" thickTop="1" x14ac:dyDescent="0.3">
      <c r="A11" s="212"/>
      <c r="B11" s="318" t="s">
        <v>511</v>
      </c>
      <c r="C11" s="215"/>
      <c r="D11" s="137" t="str">
        <f>guest_lists[[#This Row],[tour_type]]</f>
        <v>12 - DSCYT</v>
      </c>
      <c r="E11" s="137" t="str">
        <f>guest_lists[[#This Row],[guest_lists]]</f>
        <v>Joan Roberts</v>
      </c>
      <c r="F11" s="137" t="str">
        <f>guest_lists[[#This Row],[party]]</f>
        <v>party_4 G1</v>
      </c>
      <c r="G11" s="137" t="str">
        <f>guest_lists[[#This Row],[dietary_requirements2]]</f>
        <v>nil</v>
      </c>
      <c r="H11" s="4"/>
      <c r="I11" s="21"/>
    </row>
    <row r="12" spans="1:9" ht="15" customHeight="1" thickBot="1" x14ac:dyDescent="0.35">
      <c r="A12" s="212"/>
      <c r="B12" s="319"/>
      <c r="C12" s="215"/>
      <c r="D12" s="137" t="str">
        <f>guest_lists[[#This Row],[tour_type]]</f>
        <v>12 - DSCYT</v>
      </c>
      <c r="E12" s="137" t="str">
        <f>guest_lists[[#This Row],[guest_lists]]</f>
        <v>Valerie Mead</v>
      </c>
      <c r="F12" s="137" t="str">
        <f>guest_lists[[#This Row],[party]]</f>
        <v>party_4 G2</v>
      </c>
      <c r="G12" s="137" t="str">
        <f>guest_lists[[#This Row],[dietary_requirements2]]</f>
        <v>nil</v>
      </c>
      <c r="H12" s="128"/>
      <c r="I12" s="21"/>
    </row>
    <row r="13" spans="1:9" ht="16.8" thickTop="1" thickBot="1" x14ac:dyDescent="0.35">
      <c r="A13" s="212"/>
      <c r="B13" s="213"/>
      <c r="C13" s="215"/>
      <c r="D13" s="137" t="str">
        <f>guest_lists[[#This Row],[tour_type]]</f>
        <v>12 - DSCYT</v>
      </c>
      <c r="E13" s="137" t="str">
        <f>guest_lists[[#This Row],[guest_lists]]</f>
        <v>Ann Berriman</v>
      </c>
      <c r="F13" s="137" t="str">
        <f>guest_lists[[#This Row],[party]]</f>
        <v>party_5 G1</v>
      </c>
      <c r="G13" s="137" t="str">
        <f>guest_lists[[#This Row],[dietary_requirements2]]</f>
        <v>nil</v>
      </c>
      <c r="H13" s="128"/>
      <c r="I13" s="21"/>
    </row>
    <row r="14" spans="1:9" ht="15" customHeight="1" thickTop="1" x14ac:dyDescent="0.3">
      <c r="A14" s="212"/>
      <c r="B14" s="318" t="s">
        <v>512</v>
      </c>
      <c r="C14" s="215"/>
      <c r="D14" s="137" t="str">
        <f>guest_lists[[#This Row],[tour_type]]</f>
        <v>12 - DSCYT</v>
      </c>
      <c r="E14" s="137" t="str">
        <f>guest_lists[[#This Row],[guest_lists]]</f>
        <v>Wanda Drost</v>
      </c>
      <c r="F14" s="137" t="str">
        <f>guest_lists[[#This Row],[party]]</f>
        <v>party_5 G2</v>
      </c>
      <c r="G14" s="137" t="str">
        <f>guest_lists[[#This Row],[dietary_requirements2]]</f>
        <v>celiac</v>
      </c>
      <c r="H14" s="128"/>
      <c r="I14" s="21"/>
    </row>
    <row r="15" spans="1:9" ht="15" customHeight="1" thickBot="1" x14ac:dyDescent="0.35">
      <c r="A15" s="212"/>
      <c r="B15" s="319"/>
      <c r="C15" s="215"/>
      <c r="D15" s="137" t="str">
        <f>guest_lists[[#This Row],[tour_type]]</f>
        <v>5 - DTT</v>
      </c>
      <c r="E15" s="137" t="str">
        <f>guest_lists[[#This Row],[guest_lists]]</f>
        <v>Ian Neil</v>
      </c>
      <c r="F15" s="137" t="str">
        <f>guest_lists[[#This Row],[party]]</f>
        <v>party_6 G1</v>
      </c>
      <c r="G15" s="137" t="str">
        <f>guest_lists[[#This Row],[dietary_requirements2]]</f>
        <v>nil</v>
      </c>
      <c r="H15" s="4"/>
      <c r="I15" s="21"/>
    </row>
    <row r="16" spans="1:9" ht="16.8" thickTop="1" thickBot="1" x14ac:dyDescent="0.35">
      <c r="A16" s="212"/>
      <c r="B16" s="213"/>
      <c r="C16" s="215"/>
      <c r="D16" s="137" t="str">
        <f>guest_lists[[#This Row],[tour_type]]</f>
        <v>5 - DTT</v>
      </c>
      <c r="E16" s="137" t="str">
        <f>guest_lists[[#This Row],[guest_lists]]</f>
        <v>Graheme Fergueson</v>
      </c>
      <c r="F16" s="137" t="str">
        <f>guest_lists[[#This Row],[party]]</f>
        <v>party_6 G2</v>
      </c>
      <c r="G16" s="137" t="str">
        <f>guest_lists[[#This Row],[dietary_requirements2]]</f>
        <v>nil</v>
      </c>
      <c r="H16" s="4"/>
      <c r="I16" s="21"/>
    </row>
    <row r="17" spans="1:9" ht="15" thickTop="1" x14ac:dyDescent="0.3">
      <c r="A17" s="212"/>
      <c r="B17" s="318" t="s">
        <v>266</v>
      </c>
      <c r="C17" s="215"/>
      <c r="D17" s="137" t="str">
        <f>guest_lists[[#This Row],[tour_type]]</f>
        <v>9 - DPSYT</v>
      </c>
      <c r="E17" s="137" t="str">
        <f>guest_lists[[#This Row],[guest_lists]]</f>
        <v>Raewyn Brookie</v>
      </c>
      <c r="F17" s="137" t="str">
        <f>guest_lists[[#This Row],[party]]</f>
        <v>party_7 G1</v>
      </c>
      <c r="G17" s="137" t="str">
        <f>guest_lists[[#This Row],[dietary_requirements2]]</f>
        <v>nil</v>
      </c>
      <c r="H17" s="4"/>
      <c r="I17" s="21"/>
    </row>
    <row r="18" spans="1:9" ht="15" customHeight="1" thickBot="1" x14ac:dyDescent="0.35">
      <c r="A18" s="212"/>
      <c r="B18" s="319"/>
      <c r="C18" s="215"/>
      <c r="D18" s="325" t="s">
        <v>33</v>
      </c>
      <c r="E18" s="326"/>
      <c r="F18" s="326"/>
      <c r="G18" s="326"/>
      <c r="H18" s="326"/>
      <c r="I18" s="327"/>
    </row>
    <row r="19" spans="1:9" ht="15" customHeight="1" thickTop="1" thickBot="1" x14ac:dyDescent="0.35">
      <c r="A19" s="212"/>
      <c r="B19" s="213"/>
      <c r="C19" s="215"/>
      <c r="D19" s="129" t="str">
        <f>Runsheet!E8</f>
        <v>Accommodation Booked</v>
      </c>
      <c r="E19" s="73" t="str">
        <f>Runsheet!E9</f>
        <v>Accommodation Entity</v>
      </c>
      <c r="F19" s="73" t="str">
        <f>Runsheet!F9</f>
        <v>Address</v>
      </c>
      <c r="G19" s="73" t="str">
        <f>Runsheet!G9</f>
        <v>Number of rooms on hold</v>
      </c>
      <c r="H19" s="73" t="str">
        <f>Runsheet!H9</f>
        <v>Bedding Configuration Booked</v>
      </c>
      <c r="I19" s="130" t="str">
        <f>Runsheet!I9</f>
        <v>Contact Details</v>
      </c>
    </row>
    <row r="20" spans="1:9" ht="15" thickTop="1" x14ac:dyDescent="0.3">
      <c r="A20" s="212"/>
      <c r="B20" s="318" t="s">
        <v>267</v>
      </c>
      <c r="C20" s="215"/>
      <c r="D20" s="131" t="str">
        <f>Runsheet!D10</f>
        <v>Accommodation #1</v>
      </c>
      <c r="E20" s="61" t="str">
        <f>Runsheet!AC10</f>
        <v>Milkwood Lodge</v>
      </c>
      <c r="F20" s="61" t="str">
        <f>Runsheet!AD10</f>
        <v>Annan Rd, Cooktown QLD 4895</v>
      </c>
      <c r="G20" s="61">
        <f>Runsheet!AE10</f>
        <v>4</v>
      </c>
      <c r="H20" s="61">
        <f>Runsheet!AF10</f>
        <v>0</v>
      </c>
      <c r="I20" s="61" t="str">
        <f>Runsheet!AG10</f>
        <v>(07) 4069 5007</v>
      </c>
    </row>
    <row r="21" spans="1:9" ht="15" customHeight="1" thickBot="1" x14ac:dyDescent="0.35">
      <c r="A21" s="212"/>
      <c r="B21" s="319"/>
      <c r="C21" s="215"/>
      <c r="D21" s="131" t="str">
        <f>Runsheet!D11</f>
        <v>Accommodation #2</v>
      </c>
      <c r="E21" s="61" t="str">
        <f>Runsheet!AC11</f>
        <v>River of Gold Motel</v>
      </c>
      <c r="F21" s="61" t="str">
        <f>Runsheet!AD11</f>
        <v xml:space="preserve"> Hope St &amp; Walker Streets, Cooktown QLD 4895</v>
      </c>
      <c r="G21" s="61">
        <f>Runsheet!AE11</f>
        <v>4</v>
      </c>
      <c r="H21" s="61">
        <f>Runsheet!AF11</f>
        <v>0</v>
      </c>
      <c r="I21" s="61" t="str">
        <f>Runsheet!AG11</f>
        <v>(07) 4069 5222</v>
      </c>
    </row>
    <row r="22" spans="1:9" ht="12.6" customHeight="1" thickTop="1" thickBot="1" x14ac:dyDescent="0.35">
      <c r="A22" s="212"/>
      <c r="B22" s="213"/>
      <c r="C22" s="215"/>
      <c r="D22" s="131" t="str">
        <f>Runsheet!D12</f>
        <v>Accommodation #3</v>
      </c>
      <c r="E22" s="61" t="str">
        <f>Runsheet!AC12</f>
        <v>A None</v>
      </c>
      <c r="F22" s="61">
        <f>Runsheet!AD12</f>
        <v>0</v>
      </c>
      <c r="G22" s="61">
        <f>Runsheet!AE12</f>
        <v>0</v>
      </c>
      <c r="H22" s="61">
        <f>Runsheet!AF12</f>
        <v>0</v>
      </c>
      <c r="I22" s="61">
        <f>Runsheet!AG12</f>
        <v>0</v>
      </c>
    </row>
    <row r="23" spans="1:9" ht="15" thickTop="1" x14ac:dyDescent="0.3">
      <c r="A23" s="212"/>
      <c r="B23" s="318" t="s">
        <v>268</v>
      </c>
      <c r="C23" s="215"/>
      <c r="D23" s="131" t="str">
        <f>Runsheet!D13</f>
        <v>Accommodation #4</v>
      </c>
      <c r="E23" s="61">
        <f>Runsheet!AC13</f>
        <v>0</v>
      </c>
      <c r="F23" s="61">
        <f>Runsheet!AD13</f>
        <v>0</v>
      </c>
      <c r="G23" s="61">
        <f>Runsheet!AE13</f>
        <v>0</v>
      </c>
      <c r="H23" s="61">
        <f>Runsheet!AF13</f>
        <v>0</v>
      </c>
      <c r="I23" s="61">
        <f>Runsheet!AG13</f>
        <v>0</v>
      </c>
    </row>
    <row r="24" spans="1:9" ht="15.6" customHeight="1" thickBot="1" x14ac:dyDescent="0.35">
      <c r="A24" s="212"/>
      <c r="B24" s="319"/>
      <c r="C24" s="215"/>
      <c r="D24" s="19"/>
      <c r="E24" s="4"/>
      <c r="F24" s="20" t="str">
        <f>Runsheet!F14</f>
        <v xml:space="preserve">Total Accommodation </v>
      </c>
      <c r="G24" s="74">
        <f>Runsheet!AE14</f>
        <v>8</v>
      </c>
      <c r="H24" s="4"/>
      <c r="I24" s="21"/>
    </row>
    <row r="25" spans="1:9" ht="15.6" customHeight="1" thickTop="1" thickBot="1" x14ac:dyDescent="0.35">
      <c r="A25" s="212"/>
      <c r="B25" s="213"/>
      <c r="C25" s="215"/>
      <c r="D25" s="19"/>
      <c r="E25" s="4"/>
      <c r="F25" s="4"/>
      <c r="G25" s="4"/>
      <c r="H25" s="4"/>
      <c r="I25" s="21"/>
    </row>
    <row r="26" spans="1:9" ht="15" thickTop="1" x14ac:dyDescent="0.3">
      <c r="A26" s="212"/>
      <c r="B26" s="318" t="s">
        <v>269</v>
      </c>
      <c r="C26" s="215"/>
      <c r="D26" s="325" t="str">
        <f>Runsheet!D15</f>
        <v>Guests Accommodation</v>
      </c>
      <c r="E26" s="326"/>
      <c r="F26" s="326"/>
      <c r="G26" s="326"/>
      <c r="H26" s="326"/>
      <c r="I26" s="327"/>
    </row>
    <row r="27" spans="1:9" ht="15" customHeight="1" thickBot="1" x14ac:dyDescent="0.35">
      <c r="A27" s="212"/>
      <c r="B27" s="319"/>
      <c r="C27" s="215"/>
      <c r="D27" s="100" t="s">
        <v>195</v>
      </c>
      <c r="E27" s="76" t="s">
        <v>36</v>
      </c>
      <c r="F27" s="72" t="s">
        <v>33</v>
      </c>
      <c r="G27" s="20" t="s">
        <v>161</v>
      </c>
      <c r="H27" s="20" t="s">
        <v>186</v>
      </c>
      <c r="I27" s="48" t="s">
        <v>189</v>
      </c>
    </row>
    <row r="28" spans="1:9" ht="15" customHeight="1" thickTop="1" thickBot="1" x14ac:dyDescent="0.35">
      <c r="A28" s="212"/>
      <c r="B28" s="213"/>
      <c r="C28" s="215"/>
      <c r="D28" s="353" t="str">
        <f>Runsheet!D17</f>
        <v>Party 1</v>
      </c>
      <c r="E28" s="65" t="str">
        <f>Runsheet!E17</f>
        <v>Penelope Lister</v>
      </c>
      <c r="F28" s="65" t="str">
        <f>Runsheet!AE17</f>
        <v>Milkwood Lodge</v>
      </c>
      <c r="G28" s="65" t="str">
        <f>Runsheet!AF17</f>
        <v>double</v>
      </c>
      <c r="H28" s="65">
        <f>Runsheet!AG17</f>
        <v>0</v>
      </c>
      <c r="I28" s="65">
        <f>Runsheet!AH17</f>
        <v>0</v>
      </c>
    </row>
    <row r="29" spans="1:9" ht="15" thickTop="1" x14ac:dyDescent="0.3">
      <c r="A29" s="212"/>
      <c r="B29" s="318" t="s">
        <v>270</v>
      </c>
      <c r="C29" s="215"/>
      <c r="D29" s="353"/>
      <c r="E29" s="65" t="str">
        <f>Runsheet!E18</f>
        <v>Gerald Lister</v>
      </c>
      <c r="F29" s="65" t="str">
        <f>Runsheet!AE18</f>
        <v>Milkwood Lodge</v>
      </c>
      <c r="G29" s="65" t="str">
        <f>Runsheet!AF18</f>
        <v>double</v>
      </c>
      <c r="H29" s="65">
        <f>Runsheet!AG18</f>
        <v>0</v>
      </c>
      <c r="I29" s="65">
        <f>Runsheet!AH18</f>
        <v>0</v>
      </c>
    </row>
    <row r="30" spans="1:9" ht="15" customHeight="1" thickBot="1" x14ac:dyDescent="0.35">
      <c r="A30" s="212"/>
      <c r="B30" s="319"/>
      <c r="C30" s="215"/>
      <c r="D30" s="353" t="str">
        <f>Runsheet!D19</f>
        <v>Party 2</v>
      </c>
      <c r="E30" s="65" t="str">
        <f>Runsheet!E19</f>
        <v>Denis Lister</v>
      </c>
      <c r="F30" s="65" t="str">
        <f>Runsheet!AE19</f>
        <v>Milkwood Lodge</v>
      </c>
      <c r="G30" s="65" t="str">
        <f>Runsheet!AF19</f>
        <v>double</v>
      </c>
      <c r="H30" s="65">
        <f>Runsheet!AG19</f>
        <v>0</v>
      </c>
      <c r="I30" s="65">
        <f>Runsheet!AH19</f>
        <v>0</v>
      </c>
    </row>
    <row r="31" spans="1:9" ht="15" customHeight="1" thickTop="1" thickBot="1" x14ac:dyDescent="0.35">
      <c r="A31" s="212"/>
      <c r="B31" s="213"/>
      <c r="C31" s="215"/>
      <c r="D31" s="353"/>
      <c r="E31" s="65" t="e">
        <f>Runsheet!E20</f>
        <v>#N/A</v>
      </c>
      <c r="F31" s="65">
        <f>Runsheet!AE20</f>
        <v>0</v>
      </c>
      <c r="G31" s="65">
        <f>Runsheet!AF20</f>
        <v>0</v>
      </c>
      <c r="H31" s="65">
        <f>Runsheet!AG20</f>
        <v>0</v>
      </c>
      <c r="I31" s="65">
        <f>Runsheet!AH20</f>
        <v>0</v>
      </c>
    </row>
    <row r="32" spans="1:9" ht="15" thickTop="1" x14ac:dyDescent="0.3">
      <c r="A32" s="212"/>
      <c r="B32" s="318" t="s">
        <v>271</v>
      </c>
      <c r="C32" s="215"/>
      <c r="D32" s="353" t="str">
        <f>Runsheet!D21</f>
        <v>Party 3</v>
      </c>
      <c r="E32" s="65" t="str">
        <f>Runsheet!E21</f>
        <v>Mark Morgan</v>
      </c>
      <c r="F32" s="65" t="str">
        <f>Runsheet!AE21</f>
        <v>Milkwood Lodge</v>
      </c>
      <c r="G32" s="65" t="str">
        <f>Runsheet!AF21</f>
        <v>double</v>
      </c>
      <c r="H32" s="65">
        <f>Runsheet!AG21</f>
        <v>0</v>
      </c>
      <c r="I32" s="65">
        <f>Runsheet!AH21</f>
        <v>0</v>
      </c>
    </row>
    <row r="33" spans="1:9" ht="15" customHeight="1" thickBot="1" x14ac:dyDescent="0.35">
      <c r="A33" s="212"/>
      <c r="B33" s="319"/>
      <c r="C33" s="215"/>
      <c r="D33" s="353"/>
      <c r="E33" s="65" t="str">
        <f>Runsheet!E22</f>
        <v>Nicola Morgan</v>
      </c>
      <c r="F33" s="65" t="str">
        <f>Runsheet!AE22</f>
        <v>Milkwood Lodge</v>
      </c>
      <c r="G33" s="65" t="str">
        <f>Runsheet!AF22</f>
        <v>double</v>
      </c>
      <c r="H33" s="65">
        <f>Runsheet!AG22</f>
        <v>0</v>
      </c>
      <c r="I33" s="65">
        <f>Runsheet!AH22</f>
        <v>0</v>
      </c>
    </row>
    <row r="34" spans="1:9" ht="15" customHeight="1" thickTop="1" thickBot="1" x14ac:dyDescent="0.35">
      <c r="A34" s="212"/>
      <c r="B34" s="213"/>
      <c r="C34" s="215"/>
      <c r="D34" s="353" t="str">
        <f>Runsheet!D23</f>
        <v>Party 4</v>
      </c>
      <c r="E34" s="65" t="str">
        <f>Runsheet!E23</f>
        <v>Joan Roberts</v>
      </c>
      <c r="F34" s="65" t="str">
        <f>Runsheet!AE23</f>
        <v>Milkwood Lodge</v>
      </c>
      <c r="G34" s="65" t="str">
        <f>Runsheet!AF23</f>
        <v>double</v>
      </c>
      <c r="H34" s="65">
        <f>Runsheet!AG23</f>
        <v>0</v>
      </c>
      <c r="I34" s="65">
        <f>Runsheet!AH23</f>
        <v>0</v>
      </c>
    </row>
    <row r="35" spans="1:9" ht="15" thickTop="1" x14ac:dyDescent="0.3">
      <c r="A35" s="212"/>
      <c r="B35" s="318" t="s">
        <v>272</v>
      </c>
      <c r="C35" s="215"/>
      <c r="D35" s="353"/>
      <c r="E35" s="65" t="str">
        <f>Runsheet!E24</f>
        <v>Valerie Mead</v>
      </c>
      <c r="F35" s="65" t="str">
        <f>Runsheet!AE24</f>
        <v>Milkwood Lodge</v>
      </c>
      <c r="G35" s="65" t="str">
        <f>Runsheet!AF24</f>
        <v>double</v>
      </c>
      <c r="H35" s="65">
        <f>Runsheet!AG24</f>
        <v>0</v>
      </c>
      <c r="I35" s="65">
        <f>Runsheet!AH24</f>
        <v>0</v>
      </c>
    </row>
    <row r="36" spans="1:9" ht="15" customHeight="1" thickBot="1" x14ac:dyDescent="0.35">
      <c r="A36" s="212"/>
      <c r="B36" s="319"/>
      <c r="C36" s="215"/>
      <c r="D36" s="353" t="str">
        <f>Runsheet!D25</f>
        <v>Party 5</v>
      </c>
      <c r="E36" s="65" t="str">
        <f>Runsheet!E25</f>
        <v>Ann Berriman</v>
      </c>
      <c r="F36" s="65" t="str">
        <f>Runsheet!AE25</f>
        <v>River of Gold Motel</v>
      </c>
      <c r="G36" s="65" t="str">
        <f>Runsheet!AF25</f>
        <v>twin</v>
      </c>
      <c r="H36" s="65">
        <f>Runsheet!AG25</f>
        <v>0</v>
      </c>
      <c r="I36" s="65">
        <f>Runsheet!AH25</f>
        <v>0</v>
      </c>
    </row>
    <row r="37" spans="1:9" ht="15" customHeight="1" thickTop="1" thickBot="1" x14ac:dyDescent="0.35">
      <c r="A37" s="212"/>
      <c r="B37" s="213"/>
      <c r="C37" s="215"/>
      <c r="D37" s="353"/>
      <c r="E37" s="65" t="str">
        <f>Runsheet!E26</f>
        <v>Wanda Drost</v>
      </c>
      <c r="F37" s="65" t="str">
        <f>Runsheet!AE26</f>
        <v>River of Gold Motel</v>
      </c>
      <c r="G37" s="65" t="str">
        <f>Runsheet!AF26</f>
        <v>twin</v>
      </c>
      <c r="H37" s="65">
        <f>Runsheet!AG26</f>
        <v>0</v>
      </c>
      <c r="I37" s="65">
        <f>Runsheet!AH26</f>
        <v>0</v>
      </c>
    </row>
    <row r="38" spans="1:9" ht="15" thickTop="1" x14ac:dyDescent="0.3">
      <c r="A38" s="212"/>
      <c r="B38" s="318" t="s">
        <v>273</v>
      </c>
      <c r="C38" s="215"/>
      <c r="D38" s="353" t="str">
        <f>Runsheet!D27</f>
        <v>Party 6</v>
      </c>
      <c r="E38" s="65" t="str">
        <f>Runsheet!E27</f>
        <v>Ian Neil</v>
      </c>
      <c r="F38" s="65" t="str">
        <f>Runsheet!AE27</f>
        <v>River of Gold Motel</v>
      </c>
      <c r="G38" s="65" t="str">
        <f>Runsheet!AF27</f>
        <v>twin</v>
      </c>
      <c r="H38" s="65">
        <f>Runsheet!AG27</f>
        <v>0</v>
      </c>
      <c r="I38" s="65">
        <f>Runsheet!AH27</f>
        <v>0</v>
      </c>
    </row>
    <row r="39" spans="1:9" ht="15" customHeight="1" thickBot="1" x14ac:dyDescent="0.35">
      <c r="A39" s="212"/>
      <c r="B39" s="319"/>
      <c r="C39" s="215"/>
      <c r="D39" s="353"/>
      <c r="E39" s="65" t="str">
        <f>Runsheet!E28</f>
        <v>Graheme Fergueson</v>
      </c>
      <c r="F39" s="65" t="str">
        <f>Runsheet!AE28</f>
        <v>River of Gold Motel</v>
      </c>
      <c r="G39" s="65" t="str">
        <f>Runsheet!AF28</f>
        <v>twin</v>
      </c>
      <c r="H39" s="65">
        <f>Runsheet!AG28</f>
        <v>0</v>
      </c>
      <c r="I39" s="65">
        <f>Runsheet!AH28</f>
        <v>0</v>
      </c>
    </row>
    <row r="40" spans="1:9" ht="14.4" customHeight="1" thickTop="1" thickBot="1" x14ac:dyDescent="0.35">
      <c r="A40" s="212"/>
      <c r="B40" s="213"/>
      <c r="C40" s="215"/>
      <c r="D40" s="353" t="str">
        <f>Runsheet!D29</f>
        <v>Party 7</v>
      </c>
      <c r="E40" s="65" t="str">
        <f>Runsheet!E29</f>
        <v>Raewyn Brookie</v>
      </c>
      <c r="F40" s="65" t="str">
        <f>Runsheet!AE29</f>
        <v>River of Gold Motel</v>
      </c>
      <c r="G40" s="65" t="str">
        <f>Runsheet!AF29</f>
        <v>double</v>
      </c>
      <c r="H40" s="65">
        <f>Runsheet!AG29</f>
        <v>0</v>
      </c>
      <c r="I40" s="65">
        <f>Runsheet!AH29</f>
        <v>0</v>
      </c>
    </row>
    <row r="41" spans="1:9" ht="15" customHeight="1" thickTop="1" x14ac:dyDescent="0.3">
      <c r="A41" s="212"/>
      <c r="B41" s="318" t="s">
        <v>274</v>
      </c>
      <c r="C41" s="215"/>
      <c r="D41" s="353"/>
      <c r="E41" s="65" t="e">
        <f>Runsheet!E30</f>
        <v>#N/A</v>
      </c>
      <c r="F41" s="65">
        <f>Runsheet!AE30</f>
        <v>0</v>
      </c>
      <c r="G41" s="65">
        <f>Runsheet!AF30</f>
        <v>0</v>
      </c>
      <c r="H41" s="65">
        <f>Runsheet!AG30</f>
        <v>0</v>
      </c>
      <c r="I41" s="65">
        <f>Runsheet!AH30</f>
        <v>0</v>
      </c>
    </row>
    <row r="42" spans="1:9" ht="15" thickBot="1" x14ac:dyDescent="0.35">
      <c r="A42" s="212"/>
      <c r="B42" s="319"/>
      <c r="C42" s="215"/>
      <c r="D42" s="325" t="str">
        <f>Runsheet!D36</f>
        <v>Dinning Arrangements</v>
      </c>
      <c r="E42" s="326"/>
      <c r="F42" s="326"/>
      <c r="G42" s="326"/>
      <c r="H42" s="326"/>
      <c r="I42" s="327"/>
    </row>
    <row r="43" spans="1:9" ht="15" customHeight="1" thickTop="1" thickBot="1" x14ac:dyDescent="0.35">
      <c r="A43" s="212"/>
      <c r="B43" s="213"/>
      <c r="C43" s="215"/>
      <c r="D43" s="19"/>
      <c r="E43" s="4"/>
      <c r="F43" s="4"/>
      <c r="G43" s="4"/>
      <c r="H43" s="4"/>
      <c r="I43" s="21"/>
    </row>
    <row r="44" spans="1:9" ht="15" customHeight="1" thickTop="1" x14ac:dyDescent="0.3">
      <c r="A44" s="212"/>
      <c r="B44" s="318" t="s">
        <v>275</v>
      </c>
      <c r="C44" s="215"/>
      <c r="D44" s="328" t="str">
        <f>Runsheet!D37</f>
        <v xml:space="preserve">Breakfast </v>
      </c>
      <c r="E44" s="329" t="str">
        <f>Runsheet!AC37</f>
        <v>Breakfast at Ferntrees / 8:00am Booking</v>
      </c>
      <c r="F44" s="330"/>
      <c r="G44" s="330"/>
      <c r="H44" s="330"/>
      <c r="I44" s="331"/>
    </row>
    <row r="45" spans="1:9" ht="15" thickBot="1" x14ac:dyDescent="0.35">
      <c r="A45" s="212"/>
      <c r="B45" s="319"/>
      <c r="C45" s="215"/>
      <c r="D45" s="328"/>
      <c r="E45" s="332"/>
      <c r="F45" s="333"/>
      <c r="G45" s="333"/>
      <c r="H45" s="333"/>
      <c r="I45" s="334"/>
    </row>
    <row r="46" spans="1:9" ht="57.6" customHeight="1" thickTop="1" thickBot="1" x14ac:dyDescent="0.35">
      <c r="A46" s="212"/>
      <c r="B46" s="213"/>
      <c r="C46" s="215"/>
      <c r="D46" s="328" t="str">
        <f>Runsheet!D39</f>
        <v xml:space="preserve">Lunch </v>
      </c>
      <c r="E46" s="329" t="str">
        <f>Runsheet!AC39</f>
        <v>Pick-up from Ferntrees</v>
      </c>
      <c r="F46" s="330"/>
      <c r="G46" s="330"/>
      <c r="H46" s="330"/>
      <c r="I46" s="331"/>
    </row>
    <row r="47" spans="1:9" ht="15" customHeight="1" thickTop="1" x14ac:dyDescent="0.3">
      <c r="A47" s="212"/>
      <c r="B47" s="318" t="s">
        <v>276</v>
      </c>
      <c r="C47" s="215"/>
      <c r="D47" s="328"/>
      <c r="E47" s="332"/>
      <c r="F47" s="333"/>
      <c r="G47" s="333"/>
      <c r="H47" s="333"/>
      <c r="I47" s="334"/>
    </row>
    <row r="48" spans="1:9" ht="28.8" customHeight="1" thickBot="1" x14ac:dyDescent="0.35">
      <c r="A48" s="212"/>
      <c r="B48" s="319"/>
      <c r="C48" s="215"/>
      <c r="D48" s="328" t="str">
        <f>Runsheet!D41</f>
        <v xml:space="preserve">Dinner </v>
      </c>
      <c r="E48" s="329" t="str">
        <f>Runsheet!AC41</f>
        <v>River of Gold Motel 15 pax - 18:30pm (CONFIRMED)</v>
      </c>
      <c r="F48" s="330"/>
      <c r="G48" s="330"/>
      <c r="H48" s="330"/>
      <c r="I48" s="331"/>
    </row>
    <row r="49" spans="1:9" ht="15" customHeight="1" thickTop="1" thickBot="1" x14ac:dyDescent="0.35">
      <c r="A49" s="212"/>
      <c r="B49" s="213"/>
      <c r="C49" s="215"/>
      <c r="D49" s="328"/>
      <c r="E49" s="332"/>
      <c r="F49" s="333"/>
      <c r="G49" s="333"/>
      <c r="H49" s="333"/>
      <c r="I49" s="334"/>
    </row>
    <row r="50" spans="1:9" ht="15" customHeight="1" thickTop="1" x14ac:dyDescent="0.3">
      <c r="A50" s="212"/>
      <c r="B50" s="318" t="s">
        <v>277</v>
      </c>
      <c r="C50" s="215"/>
      <c r="D50" s="134"/>
      <c r="E50" s="75"/>
      <c r="F50" s="75"/>
      <c r="G50" s="75"/>
      <c r="H50" s="75"/>
      <c r="I50" s="135"/>
    </row>
    <row r="51" spans="1:9" ht="15" thickBot="1" x14ac:dyDescent="0.35">
      <c r="A51" s="212"/>
      <c r="B51" s="319"/>
      <c r="C51" s="215"/>
      <c r="D51" s="325" t="s">
        <v>210</v>
      </c>
      <c r="E51" s="326"/>
      <c r="F51" s="326"/>
      <c r="G51" s="326"/>
      <c r="H51" s="326"/>
      <c r="I51" s="327"/>
    </row>
    <row r="52" spans="1:9" ht="15" customHeight="1" thickTop="1" x14ac:dyDescent="0.3">
      <c r="A52" s="212"/>
      <c r="B52" s="213"/>
      <c r="C52" s="215"/>
      <c r="D52" s="360" t="str">
        <f>Runsheet!AB44</f>
        <v>Wujal Wujal 11:00am - 10pax (texted)</v>
      </c>
      <c r="E52" s="360"/>
      <c r="F52" s="360"/>
      <c r="G52" s="360"/>
      <c r="H52" s="360"/>
      <c r="I52" s="360"/>
    </row>
    <row r="53" spans="1:9" ht="15" customHeight="1" x14ac:dyDescent="0.3">
      <c r="A53" s="212"/>
      <c r="B53" s="213"/>
      <c r="C53" s="215"/>
      <c r="D53" s="360"/>
      <c r="E53" s="360"/>
      <c r="F53" s="360"/>
      <c r="G53" s="360"/>
      <c r="H53" s="360"/>
      <c r="I53" s="360"/>
    </row>
    <row r="54" spans="1:9" x14ac:dyDescent="0.3">
      <c r="A54" s="212"/>
      <c r="B54" s="231"/>
      <c r="C54" s="215"/>
      <c r="D54" s="360">
        <f>Runsheet!AB45</f>
        <v>0</v>
      </c>
      <c r="E54" s="360"/>
      <c r="F54" s="360"/>
      <c r="G54" s="360"/>
      <c r="H54" s="360"/>
      <c r="I54" s="360"/>
    </row>
    <row r="55" spans="1:9" x14ac:dyDescent="0.3">
      <c r="A55" s="212"/>
      <c r="B55" s="231"/>
      <c r="C55" s="215"/>
      <c r="D55" s="360"/>
      <c r="E55" s="360"/>
      <c r="F55" s="360"/>
      <c r="G55" s="360"/>
      <c r="H55" s="360"/>
      <c r="I55" s="360"/>
    </row>
    <row r="56" spans="1:9" x14ac:dyDescent="0.3">
      <c r="A56" s="212"/>
      <c r="B56" s="213"/>
      <c r="C56" s="215"/>
      <c r="D56" s="325" t="s">
        <v>350</v>
      </c>
      <c r="E56" s="326"/>
      <c r="F56" s="326"/>
      <c r="G56" s="326"/>
      <c r="H56" s="326"/>
      <c r="I56" s="327"/>
    </row>
    <row r="57" spans="1:9" x14ac:dyDescent="0.3">
      <c r="A57" s="212"/>
      <c r="B57" s="213"/>
      <c r="C57" s="215"/>
      <c r="D57" s="232"/>
      <c r="E57" s="138" t="str" cm="1">
        <f t="array" ref="E57:H58">day_4_itinerary_highights[]</f>
        <v>Fig Tree</v>
      </c>
      <c r="F57" s="138" t="str">
        <v>Bloomfield Track</v>
      </c>
      <c r="G57" s="138" t="str">
        <v>Black mountain</v>
      </c>
      <c r="H57" s="138" t="str">
        <v>Grassy Hill Lookout point</v>
      </c>
      <c r="I57" s="233"/>
    </row>
    <row r="58" spans="1:9" x14ac:dyDescent="0.3">
      <c r="A58" s="212"/>
      <c r="B58" s="213"/>
      <c r="C58" s="215"/>
      <c r="D58" s="234"/>
      <c r="E58" s="235">
        <v>0</v>
      </c>
      <c r="F58" s="235">
        <v>0</v>
      </c>
      <c r="G58" s="235">
        <v>0</v>
      </c>
      <c r="H58" s="235">
        <v>0</v>
      </c>
      <c r="I58" s="236"/>
    </row>
    <row r="59" spans="1:9" x14ac:dyDescent="0.3">
      <c r="A59" s="212"/>
      <c r="B59" s="213"/>
      <c r="C59" s="215"/>
      <c r="D59" s="234"/>
      <c r="E59" s="235"/>
      <c r="F59" s="235"/>
      <c r="G59" s="235"/>
      <c r="H59" s="235"/>
      <c r="I59" s="236"/>
    </row>
    <row r="60" spans="1:9" x14ac:dyDescent="0.3">
      <c r="A60" s="212"/>
      <c r="B60" s="213"/>
      <c r="C60" s="215"/>
      <c r="D60" s="325" t="s">
        <v>209</v>
      </c>
      <c r="E60" s="326"/>
      <c r="F60" s="326"/>
      <c r="G60" s="326"/>
      <c r="H60" s="326"/>
      <c r="I60" s="327"/>
    </row>
    <row r="61" spans="1:9" x14ac:dyDescent="0.3">
      <c r="A61" s="212"/>
      <c r="B61" s="213"/>
      <c r="C61" s="215"/>
      <c r="D61" s="359" t="s">
        <v>97</v>
      </c>
      <c r="E61" s="33" t="s">
        <v>11</v>
      </c>
      <c r="F61" s="39" t="str">
        <f>'Rest Runsheet Food'!L10</f>
        <v>N/A</v>
      </c>
      <c r="G61" s="39">
        <f>'Rest Runsheet Food'!M10</f>
        <v>0</v>
      </c>
      <c r="H61" s="4"/>
      <c r="I61" s="21"/>
    </row>
    <row r="62" spans="1:9" x14ac:dyDescent="0.3">
      <c r="A62" s="212"/>
      <c r="B62" s="213"/>
      <c r="C62" s="215"/>
      <c r="D62" s="339"/>
      <c r="E62" s="30" t="s">
        <v>9</v>
      </c>
      <c r="F62" s="39" t="str">
        <f>'Rest Runsheet Food'!L11</f>
        <v>Beef Wraps</v>
      </c>
      <c r="G62" s="39">
        <f>'Rest Runsheet Food'!M11</f>
        <v>14</v>
      </c>
      <c r="H62" s="4"/>
      <c r="I62" s="21"/>
    </row>
    <row r="63" spans="1:9" x14ac:dyDescent="0.3">
      <c r="A63" s="212"/>
      <c r="B63" s="213"/>
      <c r="C63" s="215"/>
      <c r="D63" s="340"/>
      <c r="E63" s="34" t="s">
        <v>1</v>
      </c>
      <c r="F63" s="39" t="str">
        <f>'Rest Runsheet Food'!L12</f>
        <v>N/A</v>
      </c>
      <c r="G63" s="39">
        <f>'Rest Runsheet Food'!M12</f>
        <v>0</v>
      </c>
      <c r="H63" s="4"/>
      <c r="I63" s="21"/>
    </row>
    <row r="64" spans="1:9" x14ac:dyDescent="0.3">
      <c r="A64" s="212"/>
      <c r="B64" s="213"/>
      <c r="C64" s="215"/>
      <c r="D64" s="19"/>
      <c r="E64" s="4"/>
      <c r="F64" s="4"/>
      <c r="G64" s="4"/>
      <c r="H64" s="4"/>
      <c r="I64" s="21"/>
    </row>
    <row r="65" spans="1:9" x14ac:dyDescent="0.3">
      <c r="A65" s="212"/>
      <c r="B65" s="213"/>
      <c r="C65" s="215"/>
      <c r="D65" s="19"/>
      <c r="E65" s="4"/>
      <c r="F65" s="37" t="s">
        <v>76</v>
      </c>
      <c r="G65" s="38" t="s">
        <v>77</v>
      </c>
      <c r="H65" s="4"/>
      <c r="I65" s="21"/>
    </row>
    <row r="66" spans="1:9" x14ac:dyDescent="0.3">
      <c r="A66" s="212"/>
      <c r="B66" s="213"/>
      <c r="C66" s="215"/>
      <c r="D66" s="341" t="s">
        <v>120</v>
      </c>
      <c r="E66" s="33" t="s">
        <v>11</v>
      </c>
      <c r="F66" s="39" t="str">
        <f>'Rest Runsheet Food'!L20</f>
        <v>N/A</v>
      </c>
      <c r="G66" s="39">
        <f>'Rest Runsheet Food'!M20</f>
        <v>0</v>
      </c>
      <c r="H66" s="4"/>
      <c r="I66" s="21"/>
    </row>
    <row r="67" spans="1:9" x14ac:dyDescent="0.3">
      <c r="A67" s="212"/>
      <c r="B67" s="213"/>
      <c r="C67" s="215"/>
      <c r="D67" s="342"/>
      <c r="E67" s="30" t="s">
        <v>9</v>
      </c>
      <c r="F67" s="39" t="str">
        <f>'Rest Runsheet Food'!L21</f>
        <v>Beef Wraps</v>
      </c>
      <c r="G67" s="39">
        <f>'Rest Runsheet Food'!M21</f>
        <v>1</v>
      </c>
      <c r="H67" s="4"/>
      <c r="I67" s="21"/>
    </row>
    <row r="68" spans="1:9" x14ac:dyDescent="0.3">
      <c r="A68" s="212"/>
      <c r="B68" s="213"/>
      <c r="C68" s="215"/>
      <c r="D68" s="343"/>
      <c r="E68" s="34" t="s">
        <v>1</v>
      </c>
      <c r="F68" s="39" t="str">
        <f>'Rest Runsheet Food'!L22</f>
        <v>N/A</v>
      </c>
      <c r="G68" s="39">
        <f>'Rest Runsheet Food'!M22</f>
        <v>0</v>
      </c>
      <c r="H68" s="4"/>
      <c r="I68" s="21"/>
    </row>
    <row r="69" spans="1:9" x14ac:dyDescent="0.3">
      <c r="A69" s="212"/>
      <c r="B69" s="213"/>
      <c r="C69" s="215"/>
      <c r="D69" s="19"/>
      <c r="E69" s="4"/>
      <c r="F69" s="4"/>
      <c r="G69" s="4"/>
      <c r="H69" s="4"/>
      <c r="I69" s="21"/>
    </row>
    <row r="70" spans="1:9" x14ac:dyDescent="0.3">
      <c r="A70" s="212"/>
      <c r="B70" s="213"/>
      <c r="C70" s="215"/>
      <c r="D70" s="19"/>
      <c r="E70" s="4"/>
      <c r="F70" s="37" t="s">
        <v>76</v>
      </c>
      <c r="G70" s="38" t="s">
        <v>77</v>
      </c>
      <c r="H70" s="4"/>
      <c r="I70" s="21"/>
    </row>
    <row r="71" spans="1:9" x14ac:dyDescent="0.3">
      <c r="A71" s="212"/>
      <c r="B71" s="213"/>
      <c r="C71" s="215"/>
      <c r="D71" s="344" t="s">
        <v>123</v>
      </c>
      <c r="E71" s="33" t="s">
        <v>11</v>
      </c>
      <c r="F71" s="39" t="str">
        <f>'Rest Runsheet Food'!L29</f>
        <v>N/A</v>
      </c>
      <c r="G71" s="39">
        <f>'Rest Runsheet Food'!M29</f>
        <v>0</v>
      </c>
      <c r="H71" s="4"/>
      <c r="I71" s="21"/>
    </row>
    <row r="72" spans="1:9" x14ac:dyDescent="0.3">
      <c r="A72" s="212"/>
      <c r="B72" s="213"/>
      <c r="C72" s="215"/>
      <c r="D72" s="345"/>
      <c r="E72" s="30" t="s">
        <v>9</v>
      </c>
      <c r="F72" s="39" t="str">
        <f>'Rest Runsheet Food'!L30</f>
        <v>Beef Wraps</v>
      </c>
      <c r="G72" s="39">
        <f>'Rest Runsheet Food'!M30</f>
        <v>0</v>
      </c>
      <c r="H72" s="4"/>
      <c r="I72" s="21"/>
    </row>
    <row r="73" spans="1:9" x14ac:dyDescent="0.3">
      <c r="C73" s="218"/>
      <c r="D73" s="346"/>
      <c r="E73" s="34" t="s">
        <v>1</v>
      </c>
      <c r="F73" s="39" t="str">
        <f>'Rest Runsheet Food'!L31</f>
        <v>N/A</v>
      </c>
      <c r="G73" s="39">
        <f>'Rest Runsheet Food'!M31</f>
        <v>0</v>
      </c>
      <c r="H73" s="4"/>
      <c r="I73" s="21"/>
    </row>
    <row r="74" spans="1:9" x14ac:dyDescent="0.3">
      <c r="C74" s="218"/>
      <c r="D74" s="19"/>
      <c r="E74" s="4"/>
      <c r="F74" s="4"/>
      <c r="G74" s="4"/>
      <c r="H74" s="4"/>
      <c r="I74" s="21"/>
    </row>
    <row r="75" spans="1:9" x14ac:dyDescent="0.3">
      <c r="C75" s="218"/>
      <c r="D75" s="19"/>
      <c r="E75" s="4"/>
      <c r="F75" s="37" t="s">
        <v>76</v>
      </c>
      <c r="G75" s="38" t="s">
        <v>77</v>
      </c>
      <c r="H75" s="4"/>
      <c r="I75" s="21"/>
    </row>
    <row r="76" spans="1:9" x14ac:dyDescent="0.3">
      <c r="C76" s="218"/>
      <c r="D76" s="349" t="s">
        <v>126</v>
      </c>
      <c r="E76" s="33" t="s">
        <v>11</v>
      </c>
      <c r="F76" s="39" t="str">
        <f>'Rest Runsheet Food'!L38</f>
        <v>N/A</v>
      </c>
      <c r="G76" s="39">
        <f>'Rest Runsheet Food'!M38</f>
        <v>0</v>
      </c>
      <c r="H76" s="4"/>
      <c r="I76" s="21"/>
    </row>
    <row r="77" spans="1:9" ht="19.8" customHeight="1" x14ac:dyDescent="0.3">
      <c r="C77" s="218"/>
      <c r="D77" s="350"/>
      <c r="E77" s="30" t="s">
        <v>9</v>
      </c>
      <c r="F77" s="39" t="str">
        <f>'Rest Runsheet Food'!L39</f>
        <v>Beef Wraps</v>
      </c>
      <c r="G77" s="39">
        <f>'Rest Runsheet Food'!M39</f>
        <v>0</v>
      </c>
      <c r="H77" s="4"/>
      <c r="I77" s="21"/>
    </row>
    <row r="78" spans="1:9" x14ac:dyDescent="0.3">
      <c r="C78" s="218"/>
      <c r="D78" s="357"/>
      <c r="E78" s="34" t="s">
        <v>1</v>
      </c>
      <c r="F78" s="39" t="str">
        <f>'Rest Runsheet Food'!L40</f>
        <v>N/A</v>
      </c>
      <c r="G78" s="39">
        <f>'Rest Runsheet Food'!M40</f>
        <v>0</v>
      </c>
      <c r="H78" s="4"/>
      <c r="I78" s="21"/>
    </row>
    <row r="79" spans="1:9" x14ac:dyDescent="0.3">
      <c r="C79" s="218"/>
      <c r="D79" s="37"/>
      <c r="E79" s="30"/>
      <c r="F79" s="4"/>
      <c r="G79" s="4"/>
      <c r="H79" s="4"/>
      <c r="I79" s="21"/>
    </row>
    <row r="80" spans="1:9" x14ac:dyDescent="0.3">
      <c r="C80" s="218"/>
      <c r="D80" s="19"/>
      <c r="E80" s="4"/>
      <c r="F80" s="37" t="s">
        <v>76</v>
      </c>
      <c r="G80" s="38" t="s">
        <v>77</v>
      </c>
      <c r="H80" s="4"/>
      <c r="I80" s="21"/>
    </row>
    <row r="81" spans="3:9" x14ac:dyDescent="0.3">
      <c r="C81" s="218"/>
      <c r="D81" s="358" t="s">
        <v>128</v>
      </c>
      <c r="E81" s="33" t="s">
        <v>11</v>
      </c>
      <c r="F81" s="39" t="str">
        <f>'Rest Runsheet Food'!L47</f>
        <v>N/A</v>
      </c>
      <c r="G81" s="39">
        <f>'Rest Runsheet Food'!M47</f>
        <v>0</v>
      </c>
      <c r="H81" s="4"/>
      <c r="I81" s="21"/>
    </row>
    <row r="82" spans="3:9" x14ac:dyDescent="0.3">
      <c r="C82" s="218"/>
      <c r="D82" s="347"/>
      <c r="E82" s="30" t="s">
        <v>9</v>
      </c>
      <c r="F82" s="39" t="str">
        <f>'Rest Runsheet Food'!L48</f>
        <v>Beef Wraps</v>
      </c>
      <c r="G82" s="39">
        <f>'Rest Runsheet Food'!M48</f>
        <v>0</v>
      </c>
      <c r="H82" s="4"/>
      <c r="I82" s="21"/>
    </row>
    <row r="83" spans="3:9" x14ac:dyDescent="0.3">
      <c r="C83" s="218"/>
      <c r="D83" s="348"/>
      <c r="E83" s="34" t="s">
        <v>1</v>
      </c>
      <c r="F83" s="39" t="str">
        <f>'Rest Runsheet Food'!L49</f>
        <v>N/A</v>
      </c>
      <c r="G83" s="39">
        <f>'Rest Runsheet Food'!M49</f>
        <v>0</v>
      </c>
      <c r="H83" s="4"/>
      <c r="I83" s="21"/>
    </row>
    <row r="84" spans="3:9" x14ac:dyDescent="0.3">
      <c r="C84" s="218"/>
      <c r="D84" s="37"/>
      <c r="E84" s="30"/>
      <c r="F84" s="4"/>
      <c r="G84" s="4"/>
      <c r="H84" s="4"/>
      <c r="I84" s="21"/>
    </row>
    <row r="85" spans="3:9" x14ac:dyDescent="0.3">
      <c r="C85" s="218"/>
      <c r="D85" s="19"/>
      <c r="E85" s="4"/>
      <c r="F85" s="37" t="s">
        <v>76</v>
      </c>
      <c r="G85" s="38" t="s">
        <v>77</v>
      </c>
      <c r="H85" s="4"/>
      <c r="I85" s="21"/>
    </row>
    <row r="86" spans="3:9" x14ac:dyDescent="0.3">
      <c r="C86" s="218"/>
      <c r="D86" s="335" t="s">
        <v>135</v>
      </c>
      <c r="E86" s="33" t="s">
        <v>11</v>
      </c>
      <c r="F86" s="39" t="str">
        <f>'Rest Runsheet Food'!L57</f>
        <v>N/A</v>
      </c>
      <c r="G86" s="39">
        <f>'Rest Runsheet Food'!M57</f>
        <v>0</v>
      </c>
      <c r="H86" s="4"/>
      <c r="I86" s="21"/>
    </row>
    <row r="87" spans="3:9" x14ac:dyDescent="0.3">
      <c r="C87" s="218"/>
      <c r="D87" s="336"/>
      <c r="E87" s="30" t="s">
        <v>9</v>
      </c>
      <c r="F87" s="39" t="str">
        <f>'Rest Runsheet Food'!L58</f>
        <v>Beef Wraps</v>
      </c>
      <c r="G87" s="39">
        <f>'Rest Runsheet Food'!M58</f>
        <v>0</v>
      </c>
      <c r="H87" s="4"/>
      <c r="I87" s="21"/>
    </row>
    <row r="88" spans="3:9" x14ac:dyDescent="0.3">
      <c r="C88" s="218"/>
      <c r="D88" s="337"/>
      <c r="E88" s="34" t="s">
        <v>1</v>
      </c>
      <c r="F88" s="39" t="str">
        <f>'Rest Runsheet Food'!L59</f>
        <v>N/A</v>
      </c>
      <c r="G88" s="39">
        <f>'Rest Runsheet Food'!M59</f>
        <v>0</v>
      </c>
      <c r="H88" s="4"/>
      <c r="I88" s="21"/>
    </row>
    <row r="89" spans="3:9" x14ac:dyDescent="0.3">
      <c r="C89" s="218"/>
      <c r="D89" s="19"/>
      <c r="E89" s="4"/>
      <c r="F89" s="4"/>
      <c r="G89" s="4"/>
      <c r="H89" s="4"/>
      <c r="I89" s="21"/>
    </row>
    <row r="90" spans="3:9" ht="16.2" thickBot="1" x14ac:dyDescent="0.35">
      <c r="C90" s="218"/>
      <c r="D90" s="133"/>
      <c r="E90" s="22"/>
      <c r="F90" s="22"/>
      <c r="G90" s="22"/>
      <c r="H90" s="22"/>
      <c r="I90" s="23"/>
    </row>
    <row r="91" spans="3:9" x14ac:dyDescent="0.3">
      <c r="C91" s="218"/>
    </row>
    <row r="92" spans="3:9" x14ac:dyDescent="0.3">
      <c r="C92" s="218"/>
    </row>
    <row r="93" spans="3:9" x14ac:dyDescent="0.3">
      <c r="C93" s="218"/>
    </row>
    <row r="94" spans="3:9" x14ac:dyDescent="0.3">
      <c r="C94" s="218"/>
    </row>
    <row r="95" spans="3:9" x14ac:dyDescent="0.3">
      <c r="C95" s="218"/>
    </row>
    <row r="96" spans="3:9" x14ac:dyDescent="0.3">
      <c r="C96" s="218"/>
    </row>
    <row r="97" spans="3:3" x14ac:dyDescent="0.3">
      <c r="C97" s="218"/>
    </row>
    <row r="98" spans="3:3" x14ac:dyDescent="0.3">
      <c r="C98" s="218"/>
    </row>
    <row r="99" spans="3:3" x14ac:dyDescent="0.3">
      <c r="C99" s="218"/>
    </row>
    <row r="100" spans="3:3" x14ac:dyDescent="0.3">
      <c r="C100" s="218"/>
    </row>
    <row r="101" spans="3:3" x14ac:dyDescent="0.3">
      <c r="C101" s="218"/>
    </row>
    <row r="102" spans="3:3" x14ac:dyDescent="0.3">
      <c r="C102" s="218"/>
    </row>
    <row r="103" spans="3:3" x14ac:dyDescent="0.3">
      <c r="C103" s="218"/>
    </row>
    <row r="104" spans="3:3" x14ac:dyDescent="0.3">
      <c r="C104" s="218"/>
    </row>
    <row r="105" spans="3:3" x14ac:dyDescent="0.3">
      <c r="C105" s="218"/>
    </row>
    <row r="106" spans="3:3" x14ac:dyDescent="0.3">
      <c r="C106" s="218"/>
    </row>
    <row r="107" spans="3:3" x14ac:dyDescent="0.3">
      <c r="C107" s="218"/>
    </row>
    <row r="108" spans="3:3" x14ac:dyDescent="0.3">
      <c r="C108" s="218"/>
    </row>
    <row r="109" spans="3:3" x14ac:dyDescent="0.3">
      <c r="C109" s="218"/>
    </row>
    <row r="110" spans="3:3" x14ac:dyDescent="0.3">
      <c r="C110" s="218"/>
    </row>
    <row r="111" spans="3:3" x14ac:dyDescent="0.3">
      <c r="C111" s="218"/>
    </row>
    <row r="112" spans="3:3" x14ac:dyDescent="0.3">
      <c r="C112" s="218"/>
    </row>
    <row r="113" spans="3:3" x14ac:dyDescent="0.3">
      <c r="C113" s="218"/>
    </row>
    <row r="114" spans="3:3" x14ac:dyDescent="0.3">
      <c r="C114" s="218"/>
    </row>
    <row r="115" spans="3:3" x14ac:dyDescent="0.3">
      <c r="C115" s="218"/>
    </row>
    <row r="116" spans="3:3" x14ac:dyDescent="0.3">
      <c r="C116" s="218"/>
    </row>
    <row r="117" spans="3:3" x14ac:dyDescent="0.3">
      <c r="C117" s="218"/>
    </row>
    <row r="118" spans="3:3" x14ac:dyDescent="0.3">
      <c r="C118" s="218"/>
    </row>
    <row r="119" spans="3:3" x14ac:dyDescent="0.3">
      <c r="C119" s="218"/>
    </row>
    <row r="120" spans="3:3" x14ac:dyDescent="0.3">
      <c r="C120" s="218"/>
    </row>
    <row r="121" spans="3:3" x14ac:dyDescent="0.3">
      <c r="C121" s="218"/>
    </row>
    <row r="122" spans="3:3" x14ac:dyDescent="0.3">
      <c r="C122" s="218"/>
    </row>
    <row r="123" spans="3:3" x14ac:dyDescent="0.3">
      <c r="C123" s="218"/>
    </row>
    <row r="124" spans="3:3" x14ac:dyDescent="0.3">
      <c r="C124" s="218"/>
    </row>
    <row r="125" spans="3:3" x14ac:dyDescent="0.3">
      <c r="C125" s="218"/>
    </row>
    <row r="126" spans="3:3" x14ac:dyDescent="0.3">
      <c r="C126" s="218"/>
    </row>
    <row r="127" spans="3:3" x14ac:dyDescent="0.3">
      <c r="C127" s="218"/>
    </row>
    <row r="128" spans="3:3" x14ac:dyDescent="0.3">
      <c r="C128" s="218"/>
    </row>
    <row r="129" spans="3:3" x14ac:dyDescent="0.3">
      <c r="C129" s="218"/>
    </row>
    <row r="130" spans="3:3" x14ac:dyDescent="0.3">
      <c r="C130" s="218"/>
    </row>
    <row r="131" spans="3:3" x14ac:dyDescent="0.3">
      <c r="C131" s="218"/>
    </row>
    <row r="132" spans="3:3" x14ac:dyDescent="0.3">
      <c r="C132" s="218"/>
    </row>
    <row r="133" spans="3:3" x14ac:dyDescent="0.3">
      <c r="C133" s="218"/>
    </row>
    <row r="134" spans="3:3" x14ac:dyDescent="0.3">
      <c r="C134" s="218"/>
    </row>
    <row r="135" spans="3:3" x14ac:dyDescent="0.3">
      <c r="C135" s="218"/>
    </row>
    <row r="136" spans="3:3" x14ac:dyDescent="0.3">
      <c r="C136" s="218"/>
    </row>
    <row r="137" spans="3:3" x14ac:dyDescent="0.3">
      <c r="C137" s="218"/>
    </row>
    <row r="138" spans="3:3" x14ac:dyDescent="0.3">
      <c r="C138" s="218"/>
    </row>
    <row r="139" spans="3:3" x14ac:dyDescent="0.3">
      <c r="C139" s="218"/>
    </row>
    <row r="140" spans="3:3" x14ac:dyDescent="0.3">
      <c r="C140" s="218"/>
    </row>
    <row r="141" spans="3:3" x14ac:dyDescent="0.3">
      <c r="C141" s="218"/>
    </row>
    <row r="142" spans="3:3" x14ac:dyDescent="0.3">
      <c r="C142" s="218"/>
    </row>
    <row r="143" spans="3:3" x14ac:dyDescent="0.3">
      <c r="C143" s="218"/>
    </row>
    <row r="144" spans="3:3" x14ac:dyDescent="0.3">
      <c r="C144" s="218"/>
    </row>
    <row r="145" spans="3:3" x14ac:dyDescent="0.3">
      <c r="C145" s="218"/>
    </row>
    <row r="146" spans="3:3" x14ac:dyDescent="0.3">
      <c r="C146" s="218"/>
    </row>
    <row r="147" spans="3:3" x14ac:dyDescent="0.3">
      <c r="C147" s="218"/>
    </row>
    <row r="148" spans="3:3" x14ac:dyDescent="0.3">
      <c r="C148" s="218"/>
    </row>
    <row r="149" spans="3:3" x14ac:dyDescent="0.3">
      <c r="C149" s="218"/>
    </row>
    <row r="150" spans="3:3" x14ac:dyDescent="0.3">
      <c r="C150" s="218"/>
    </row>
    <row r="151" spans="3:3" x14ac:dyDescent="0.3">
      <c r="C151" s="218"/>
    </row>
    <row r="152" spans="3:3" x14ac:dyDescent="0.3">
      <c r="C152" s="218"/>
    </row>
    <row r="153" spans="3:3" x14ac:dyDescent="0.3">
      <c r="C153" s="218"/>
    </row>
    <row r="154" spans="3:3" x14ac:dyDescent="0.3">
      <c r="C154" s="218"/>
    </row>
    <row r="155" spans="3:3" x14ac:dyDescent="0.3">
      <c r="C155" s="218"/>
    </row>
    <row r="156" spans="3:3" x14ac:dyDescent="0.3">
      <c r="C156" s="218"/>
    </row>
    <row r="157" spans="3:3" x14ac:dyDescent="0.3">
      <c r="C157" s="218"/>
    </row>
    <row r="158" spans="3:3" x14ac:dyDescent="0.3">
      <c r="C158" s="218"/>
    </row>
    <row r="159" spans="3:3" x14ac:dyDescent="0.3">
      <c r="C159" s="218"/>
    </row>
    <row r="160" spans="3:3" x14ac:dyDescent="0.3">
      <c r="C160" s="218"/>
    </row>
    <row r="161" spans="3:3" x14ac:dyDescent="0.3">
      <c r="C161" s="218"/>
    </row>
    <row r="162" spans="3:3" x14ac:dyDescent="0.3">
      <c r="C162" s="218"/>
    </row>
    <row r="163" spans="3:3" x14ac:dyDescent="0.3">
      <c r="C163" s="218"/>
    </row>
    <row r="164" spans="3:3" x14ac:dyDescent="0.3">
      <c r="C164" s="218"/>
    </row>
    <row r="165" spans="3:3" x14ac:dyDescent="0.3">
      <c r="C165" s="218"/>
    </row>
    <row r="166" spans="3:3" x14ac:dyDescent="0.3">
      <c r="C166" s="218"/>
    </row>
    <row r="167" spans="3:3" x14ac:dyDescent="0.3">
      <c r="C167" s="218"/>
    </row>
    <row r="168" spans="3:3" x14ac:dyDescent="0.3">
      <c r="C168" s="218"/>
    </row>
    <row r="169" spans="3:3" x14ac:dyDescent="0.3">
      <c r="C169" s="218"/>
    </row>
    <row r="170" spans="3:3" x14ac:dyDescent="0.3">
      <c r="C170" s="218"/>
    </row>
    <row r="171" spans="3:3" x14ac:dyDescent="0.3">
      <c r="C171" s="218"/>
    </row>
    <row r="172" spans="3:3" x14ac:dyDescent="0.3">
      <c r="C172" s="218"/>
    </row>
    <row r="173" spans="3:3" x14ac:dyDescent="0.3">
      <c r="C173" s="218"/>
    </row>
    <row r="174" spans="3:3" x14ac:dyDescent="0.3">
      <c r="C174" s="218"/>
    </row>
    <row r="175" spans="3:3" x14ac:dyDescent="0.3">
      <c r="C175" s="218"/>
    </row>
    <row r="176" spans="3:3" x14ac:dyDescent="0.3">
      <c r="C176" s="218"/>
    </row>
    <row r="177" spans="3:3" x14ac:dyDescent="0.3">
      <c r="C177" s="218"/>
    </row>
    <row r="178" spans="3:3" x14ac:dyDescent="0.3">
      <c r="C178" s="218"/>
    </row>
    <row r="179" spans="3:3" x14ac:dyDescent="0.3">
      <c r="C179" s="218"/>
    </row>
    <row r="180" spans="3:3" x14ac:dyDescent="0.3">
      <c r="C180" s="218"/>
    </row>
    <row r="181" spans="3:3" x14ac:dyDescent="0.3">
      <c r="C181" s="218"/>
    </row>
    <row r="182" spans="3:3" x14ac:dyDescent="0.3">
      <c r="C182" s="218"/>
    </row>
    <row r="183" spans="3:3" x14ac:dyDescent="0.3">
      <c r="C183" s="218"/>
    </row>
    <row r="184" spans="3:3" x14ac:dyDescent="0.3">
      <c r="C184" s="218"/>
    </row>
    <row r="185" spans="3:3" x14ac:dyDescent="0.3">
      <c r="C185" s="218"/>
    </row>
    <row r="186" spans="3:3" x14ac:dyDescent="0.3">
      <c r="C186" s="218"/>
    </row>
    <row r="187" spans="3:3" x14ac:dyDescent="0.3">
      <c r="C187" s="218"/>
    </row>
    <row r="188" spans="3:3" x14ac:dyDescent="0.3">
      <c r="C188" s="218"/>
    </row>
    <row r="189" spans="3:3" x14ac:dyDescent="0.3">
      <c r="C189" s="218"/>
    </row>
    <row r="190" spans="3:3" x14ac:dyDescent="0.3">
      <c r="C190" s="218"/>
    </row>
    <row r="191" spans="3:3" x14ac:dyDescent="0.3">
      <c r="C191" s="218"/>
    </row>
    <row r="192" spans="3:3" x14ac:dyDescent="0.3">
      <c r="C192" s="218"/>
    </row>
    <row r="193" spans="3:3" x14ac:dyDescent="0.3">
      <c r="C193" s="218"/>
    </row>
    <row r="194" spans="3:3" x14ac:dyDescent="0.3">
      <c r="C194" s="218"/>
    </row>
    <row r="195" spans="3:3" x14ac:dyDescent="0.3">
      <c r="C195" s="218"/>
    </row>
    <row r="196" spans="3:3" x14ac:dyDescent="0.3">
      <c r="C196" s="218"/>
    </row>
    <row r="197" spans="3:3" x14ac:dyDescent="0.3">
      <c r="C197" s="218"/>
    </row>
    <row r="198" spans="3:3" x14ac:dyDescent="0.3">
      <c r="C198" s="218"/>
    </row>
    <row r="199" spans="3:3" x14ac:dyDescent="0.3">
      <c r="C199" s="218"/>
    </row>
    <row r="200" spans="3:3" x14ac:dyDescent="0.3">
      <c r="C200" s="218"/>
    </row>
    <row r="201" spans="3:3" x14ac:dyDescent="0.3">
      <c r="C201" s="218"/>
    </row>
    <row r="202" spans="3:3" x14ac:dyDescent="0.3">
      <c r="C202" s="218"/>
    </row>
    <row r="203" spans="3:3" x14ac:dyDescent="0.3">
      <c r="C203" s="218"/>
    </row>
    <row r="204" spans="3:3" x14ac:dyDescent="0.3">
      <c r="C204" s="218"/>
    </row>
    <row r="205" spans="3:3" x14ac:dyDescent="0.3">
      <c r="C205" s="218"/>
    </row>
    <row r="206" spans="3:3" x14ac:dyDescent="0.3">
      <c r="C206" s="218"/>
    </row>
    <row r="207" spans="3:3" x14ac:dyDescent="0.3">
      <c r="C207" s="218"/>
    </row>
    <row r="208" spans="3:3" x14ac:dyDescent="0.3">
      <c r="C208" s="218"/>
    </row>
    <row r="209" spans="3:3" x14ac:dyDescent="0.3">
      <c r="C209" s="218"/>
    </row>
    <row r="210" spans="3:3" x14ac:dyDescent="0.3">
      <c r="C210" s="218"/>
    </row>
    <row r="211" spans="3:3" x14ac:dyDescent="0.3">
      <c r="C211" s="218"/>
    </row>
    <row r="212" spans="3:3" x14ac:dyDescent="0.3">
      <c r="C212" s="218"/>
    </row>
    <row r="213" spans="3:3" x14ac:dyDescent="0.3">
      <c r="C213" s="218"/>
    </row>
    <row r="214" spans="3:3" x14ac:dyDescent="0.3">
      <c r="C214" s="218"/>
    </row>
    <row r="215" spans="3:3" x14ac:dyDescent="0.3">
      <c r="C215" s="218"/>
    </row>
    <row r="216" spans="3:3" x14ac:dyDescent="0.3">
      <c r="C216" s="218"/>
    </row>
    <row r="217" spans="3:3" x14ac:dyDescent="0.3">
      <c r="C217" s="218"/>
    </row>
    <row r="218" spans="3:3" x14ac:dyDescent="0.3">
      <c r="C218" s="218"/>
    </row>
    <row r="219" spans="3:3" x14ac:dyDescent="0.3">
      <c r="C219" s="218"/>
    </row>
    <row r="220" spans="3:3" x14ac:dyDescent="0.3">
      <c r="C220" s="218"/>
    </row>
    <row r="221" spans="3:3" x14ac:dyDescent="0.3">
      <c r="C221" s="218"/>
    </row>
    <row r="222" spans="3:3" x14ac:dyDescent="0.3">
      <c r="C222" s="218"/>
    </row>
    <row r="223" spans="3:3" x14ac:dyDescent="0.3">
      <c r="C223" s="218"/>
    </row>
    <row r="224" spans="3:3" x14ac:dyDescent="0.3">
      <c r="C224" s="218"/>
    </row>
    <row r="225" spans="3:3" x14ac:dyDescent="0.3">
      <c r="C225" s="218"/>
    </row>
    <row r="226" spans="3:3" x14ac:dyDescent="0.3">
      <c r="C226" s="218"/>
    </row>
    <row r="227" spans="3:3" x14ac:dyDescent="0.3">
      <c r="C227" s="218"/>
    </row>
    <row r="228" spans="3:3" x14ac:dyDescent="0.3">
      <c r="C228" s="218"/>
    </row>
    <row r="229" spans="3:3" x14ac:dyDescent="0.3">
      <c r="C229" s="218"/>
    </row>
    <row r="230" spans="3:3" x14ac:dyDescent="0.3">
      <c r="C230" s="218"/>
    </row>
    <row r="231" spans="3:3" x14ac:dyDescent="0.3">
      <c r="C231" s="218"/>
    </row>
    <row r="232" spans="3:3" x14ac:dyDescent="0.3">
      <c r="C232" s="218"/>
    </row>
    <row r="233" spans="3:3" x14ac:dyDescent="0.3">
      <c r="C233" s="218"/>
    </row>
    <row r="234" spans="3:3" x14ac:dyDescent="0.3">
      <c r="C234" s="218"/>
    </row>
    <row r="235" spans="3:3" x14ac:dyDescent="0.3">
      <c r="C235" s="218"/>
    </row>
    <row r="236" spans="3:3" x14ac:dyDescent="0.3">
      <c r="C236" s="218"/>
    </row>
    <row r="237" spans="3:3" x14ac:dyDescent="0.3">
      <c r="C237" s="218"/>
    </row>
    <row r="238" spans="3:3" x14ac:dyDescent="0.3">
      <c r="C238" s="218"/>
    </row>
    <row r="239" spans="3:3" x14ac:dyDescent="0.3">
      <c r="C239" s="218"/>
    </row>
    <row r="240" spans="3:3" x14ac:dyDescent="0.3">
      <c r="C240" s="218"/>
    </row>
    <row r="241" spans="3:3" x14ac:dyDescent="0.3">
      <c r="C241" s="218"/>
    </row>
    <row r="242" spans="3:3" x14ac:dyDescent="0.3">
      <c r="C242" s="218"/>
    </row>
    <row r="243" spans="3:3" x14ac:dyDescent="0.3">
      <c r="C243" s="218"/>
    </row>
    <row r="244" spans="3:3" x14ac:dyDescent="0.3">
      <c r="C244" s="218"/>
    </row>
    <row r="245" spans="3:3" x14ac:dyDescent="0.3">
      <c r="C245" s="218"/>
    </row>
    <row r="246" spans="3:3" x14ac:dyDescent="0.3">
      <c r="C246" s="218"/>
    </row>
    <row r="247" spans="3:3" x14ac:dyDescent="0.3">
      <c r="C247" s="218"/>
    </row>
    <row r="248" spans="3:3" x14ac:dyDescent="0.3">
      <c r="C248" s="218"/>
    </row>
    <row r="249" spans="3:3" x14ac:dyDescent="0.3">
      <c r="C249" s="218"/>
    </row>
    <row r="250" spans="3:3" x14ac:dyDescent="0.3">
      <c r="C250" s="218"/>
    </row>
    <row r="251" spans="3:3" x14ac:dyDescent="0.3">
      <c r="C251" s="218"/>
    </row>
    <row r="252" spans="3:3" x14ac:dyDescent="0.3">
      <c r="C252" s="218"/>
    </row>
    <row r="253" spans="3:3" x14ac:dyDescent="0.3">
      <c r="C253" s="218"/>
    </row>
    <row r="254" spans="3:3" x14ac:dyDescent="0.3">
      <c r="C254" s="218"/>
    </row>
    <row r="255" spans="3:3" x14ac:dyDescent="0.3">
      <c r="C255" s="218"/>
    </row>
    <row r="256" spans="3:3" x14ac:dyDescent="0.3">
      <c r="C256" s="218"/>
    </row>
    <row r="257" spans="3:3" x14ac:dyDescent="0.3">
      <c r="C257" s="218"/>
    </row>
    <row r="258" spans="3:3" x14ac:dyDescent="0.3">
      <c r="C258" s="218"/>
    </row>
    <row r="259" spans="3:3" x14ac:dyDescent="0.3">
      <c r="C259" s="218"/>
    </row>
  </sheetData>
  <mergeCells count="47">
    <mergeCell ref="D42:I42"/>
    <mergeCell ref="E1:G1"/>
    <mergeCell ref="E2:G2"/>
    <mergeCell ref="D4:I4"/>
    <mergeCell ref="D18:I18"/>
    <mergeCell ref="D26:I26"/>
    <mergeCell ref="D28:D29"/>
    <mergeCell ref="D30:D31"/>
    <mergeCell ref="D32:D33"/>
    <mergeCell ref="D34:D35"/>
    <mergeCell ref="D36:D37"/>
    <mergeCell ref="D38:D39"/>
    <mergeCell ref="D40:D41"/>
    <mergeCell ref="D44:D45"/>
    <mergeCell ref="E44:I45"/>
    <mergeCell ref="D46:D47"/>
    <mergeCell ref="E46:I47"/>
    <mergeCell ref="D48:D49"/>
    <mergeCell ref="E48:I49"/>
    <mergeCell ref="D71:D73"/>
    <mergeCell ref="D76:D78"/>
    <mergeCell ref="D81:D83"/>
    <mergeCell ref="D86:D88"/>
    <mergeCell ref="D51:I51"/>
    <mergeCell ref="D52:I53"/>
    <mergeCell ref="D54:I55"/>
    <mergeCell ref="D60:I60"/>
    <mergeCell ref="D61:D63"/>
    <mergeCell ref="D66:D68"/>
    <mergeCell ref="D56:I56"/>
    <mergeCell ref="B2:B3"/>
    <mergeCell ref="B5:B6"/>
    <mergeCell ref="B8:B9"/>
    <mergeCell ref="B11:B12"/>
    <mergeCell ref="B14:B15"/>
    <mergeCell ref="B47:B48"/>
    <mergeCell ref="B50:B51"/>
    <mergeCell ref="B17:B18"/>
    <mergeCell ref="B20:B21"/>
    <mergeCell ref="B23:B24"/>
    <mergeCell ref="B26:B27"/>
    <mergeCell ref="B29:B30"/>
    <mergeCell ref="B32:B33"/>
    <mergeCell ref="B35:B36"/>
    <mergeCell ref="B38:B39"/>
    <mergeCell ref="B41:B42"/>
    <mergeCell ref="B44:B45"/>
  </mergeCells>
  <hyperlinks>
    <hyperlink ref="B5" location="Panel!C4" display="HOME" xr:uid="{D15C6746-DA56-471A-BB5F-F24016866ECB}"/>
    <hyperlink ref="B17" location="Panel!C4" display="HOME" xr:uid="{BEEF946B-B435-4764-BD0A-3B9FEEE46244}"/>
    <hyperlink ref="B20" location="Panel!C4" display="HOME" xr:uid="{769BCE40-9147-417D-8F9E-F725A0CD20C4}"/>
    <hyperlink ref="B23" location="Panel!C4" display="HOME" xr:uid="{1F393D3A-C2AA-48D4-A8E5-1B68A1E71077}"/>
    <hyperlink ref="B5:B6" location="data_formula_legend!A1" display="DATA" xr:uid="{117BEF95-F069-4304-A59D-86A04679FC76}"/>
    <hyperlink ref="B17:B18" location="day_1!A1" display="DAY 1" xr:uid="{37BF0B28-3FCB-462C-8C35-B2E88F25BCA7}"/>
    <hyperlink ref="B8" location="Panel!C4" display="HOME" xr:uid="{907B90BA-3FBB-4D82-B033-0F5B4B3179CA}"/>
    <hyperlink ref="B8:B9" location="Runsheet!A1" display="RUNSHEET" xr:uid="{2CEEB149-D53F-4FBB-954D-86BFA4A8991C}"/>
    <hyperlink ref="B20:B21" location="day_2!A1" display="DAY 2" xr:uid="{17E9B562-E2D1-4EBD-A804-933E7584BE8F}"/>
    <hyperlink ref="B23:B24" location="day_3!A1" display="DAY 3" xr:uid="{49E940C5-BFFD-4DD5-B5C8-EEDDBAC049B1}"/>
    <hyperlink ref="B26" location="Panel!C4" display="HOME" xr:uid="{82845535-7E4F-4CA0-982D-CA126646CE1F}"/>
    <hyperlink ref="B26:B27" location="day_5!A1" display="DAY 4" xr:uid="{D050B829-ABC3-4A3D-BF98-97A874283B37}"/>
    <hyperlink ref="B29" location="Panel!C4" display="HOME" xr:uid="{2D58AC76-24BE-40C8-B2CC-E7A843C91DC0}"/>
    <hyperlink ref="B29:B30" location="day_5!A1" display="DAY 5" xr:uid="{B5364399-EB27-4097-9984-230A4319FDC9}"/>
    <hyperlink ref="B32" location="Panel!C4" display="HOME" xr:uid="{4DCE731D-27E0-42AE-89EF-60940FC8ABA5}"/>
    <hyperlink ref="B32:B33" location="day_6!A1" display="DAY 6" xr:uid="{6E7BA524-0831-432F-BA62-AC75767D22A5}"/>
    <hyperlink ref="B14:B15" location="'Food Serves'!A1" display="FOOD SERVES" xr:uid="{70FE89B1-66D7-4718-8BDB-B0AADC7029E5}"/>
    <hyperlink ref="B11:B12" location="'Rest Runsheet Food'!A1" display="RESTAURANT RUNSHEET" xr:uid="{E77EE0C5-D146-4E9B-9387-971A0080FEC7}"/>
    <hyperlink ref="B14" location="Panel!C4" display="HOME" xr:uid="{33CC1CE8-B24A-4C53-9C1D-40858B46172B}"/>
    <hyperlink ref="B11" location="Panel!C4" display="HOME" xr:uid="{6234DE60-F8FA-4E3F-BED3-C8D42D3FAB29}"/>
    <hyperlink ref="B35" location="Panel!C4" display="HOME" xr:uid="{E33A33DD-656C-4530-95E0-7D35BD21E3DD}"/>
    <hyperlink ref="B35:B36" location="day_7!A1" display="DAY 7" xr:uid="{0DD254F6-F0C4-47B0-AE73-B1EDD4C1F852}"/>
    <hyperlink ref="B38" location="Panel!C4" display="HOME" xr:uid="{664DA2C1-E114-4C91-9D0D-3C381E7602FC}"/>
    <hyperlink ref="B38:B39" location="day_8!A1" display="DAY 8" xr:uid="{F5A465D7-0CA3-4996-8D30-FC597D7C8972}"/>
    <hyperlink ref="B41" location="Panel!C4" display="HOME" xr:uid="{E467FF86-1E36-4938-A580-4CC4C789C9AF}"/>
    <hyperlink ref="B41:B42" location="day_9!A1" display="DAY 9" xr:uid="{654FB562-1280-40A5-BE4D-E4D911EB636D}"/>
    <hyperlink ref="B44" location="Panel!C4" display="HOME" xr:uid="{D27834B8-7A64-42AF-AC14-C5BF4108C8B8}"/>
    <hyperlink ref="B44:B45" location="day_10!A1" display="DAY 10" xr:uid="{CB4AACA9-23EA-4DEC-BFE8-78E2CAD3A601}"/>
    <hyperlink ref="B47" location="Panel!C4" display="HOME" xr:uid="{E3BA4632-DB09-4B4F-9818-2294F4B63DC3}"/>
    <hyperlink ref="B47:B48" location="day_11!A1" display="DAY 11" xr:uid="{9C5CF240-F742-476E-B0E7-936EF08E691A}"/>
    <hyperlink ref="B50" location="Panel!C4" display="HOME" xr:uid="{C5AB302F-FAF7-4F5E-9A57-FA9FB01804BE}"/>
    <hyperlink ref="B50:B51" location="day_12!A1" display="DAY 12" xr:uid="{9417F338-9358-42D1-B0B4-E2D9378812C2}"/>
    <hyperlink ref="B2:B3" location="HOME!A1" display="HOME" xr:uid="{47F4B787-EA78-4001-8CF8-F5A24EA95814}"/>
    <hyperlink ref="B2" location="Panel!C4" display="HOME" xr:uid="{A11EE188-7518-47EF-97A4-4618E621A1C4}"/>
  </hyperlinks>
  <pageMargins left="0.25" right="0.25" top="0.75" bottom="0.75" header="0.3" footer="0.3"/>
  <pageSetup paperSize="9" scale="51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84A69-2D81-4111-A675-25788891DBF4}">
  <sheetPr codeName="Sheet13">
    <pageSetUpPr fitToPage="1"/>
  </sheetPr>
  <dimension ref="A1:I259"/>
  <sheetViews>
    <sheetView workbookViewId="0">
      <selection activeCell="B11" sqref="B11:B12"/>
    </sheetView>
  </sheetViews>
  <sheetFormatPr defaultRowHeight="15.6" x14ac:dyDescent="0.3"/>
  <cols>
    <col min="1" max="1" width="1.77734375" style="216" customWidth="1"/>
    <col min="2" max="2" width="14" style="217" bestFit="1" customWidth="1"/>
    <col min="3" max="3" width="1.77734375" style="216" customWidth="1"/>
    <col min="4" max="4" width="45.6640625" bestFit="1" customWidth="1"/>
    <col min="5" max="5" width="20.77734375" bestFit="1" customWidth="1"/>
    <col min="6" max="6" width="37.33203125" bestFit="1" customWidth="1"/>
    <col min="7" max="7" width="23.44140625" bestFit="1" customWidth="1"/>
    <col min="8" max="8" width="32.21875" bestFit="1" customWidth="1"/>
    <col min="9" max="9" width="22" bestFit="1" customWidth="1"/>
  </cols>
  <sheetData>
    <row r="1" spans="1:9" ht="16.2" thickBot="1" x14ac:dyDescent="0.35">
      <c r="A1" s="212"/>
      <c r="B1" s="213"/>
      <c r="C1" s="212"/>
      <c r="D1" s="16"/>
      <c r="E1" s="351" t="str">
        <f>Runsheet!AK7</f>
        <v>Day 5</v>
      </c>
      <c r="F1" s="351"/>
      <c r="G1" s="351"/>
      <c r="H1" s="17"/>
      <c r="I1" s="18"/>
    </row>
    <row r="2" spans="1:9" ht="15" customHeight="1" thickTop="1" x14ac:dyDescent="0.3">
      <c r="A2" s="212"/>
      <c r="B2" s="318" t="s">
        <v>264</v>
      </c>
      <c r="C2" s="212"/>
      <c r="D2" s="19"/>
      <c r="E2" s="352">
        <f>Runsheet!AK6</f>
        <v>44790</v>
      </c>
      <c r="F2" s="352"/>
      <c r="G2" s="352"/>
      <c r="H2" s="4"/>
      <c r="I2" s="21"/>
    </row>
    <row r="3" spans="1:9" ht="15" customHeight="1" thickBot="1" x14ac:dyDescent="0.35">
      <c r="A3" s="212"/>
      <c r="B3" s="319"/>
      <c r="C3" s="212"/>
      <c r="D3" s="19"/>
      <c r="E3" s="127"/>
      <c r="F3" s="127"/>
      <c r="G3" s="127"/>
      <c r="H3" s="4"/>
      <c r="I3" s="21"/>
    </row>
    <row r="4" spans="1:9" ht="16.8" thickTop="1" thickBot="1" x14ac:dyDescent="0.35">
      <c r="A4" s="212"/>
      <c r="B4" s="213"/>
      <c r="C4" s="212"/>
      <c r="D4" s="354" t="s">
        <v>179</v>
      </c>
      <c r="E4" s="355"/>
      <c r="F4" s="355"/>
      <c r="G4" s="355"/>
      <c r="H4" s="355"/>
      <c r="I4" s="356"/>
    </row>
    <row r="5" spans="1:9" ht="15" customHeight="1" thickTop="1" x14ac:dyDescent="0.3">
      <c r="A5" s="212"/>
      <c r="B5" s="320" t="s">
        <v>247</v>
      </c>
      <c r="C5" s="212"/>
      <c r="D5" s="136" t="s">
        <v>37</v>
      </c>
      <c r="E5" s="136" t="s">
        <v>190</v>
      </c>
      <c r="F5" s="136" t="s">
        <v>195</v>
      </c>
      <c r="G5" s="136" t="s">
        <v>200</v>
      </c>
      <c r="H5" s="4"/>
      <c r="I5" s="21"/>
    </row>
    <row r="6" spans="1:9" ht="15" customHeight="1" thickBot="1" x14ac:dyDescent="0.35">
      <c r="A6" s="212"/>
      <c r="B6" s="321"/>
      <c r="C6" s="212"/>
      <c r="D6" s="137" t="str">
        <f>guest_lists[[#This Row],[tour_type]]</f>
        <v>12 - DPCYT</v>
      </c>
      <c r="E6" s="137" t="str">
        <f>guest_lists[[#This Row],[guest_lists]]</f>
        <v>Penelope Lister</v>
      </c>
      <c r="F6" s="137" t="str">
        <f>guest_lists[[#This Row],[party]]</f>
        <v>party_1 G1</v>
      </c>
      <c r="G6" s="137" t="str">
        <f>guest_lists[[#This Row],[dietary_requirements2]]</f>
        <v>nil</v>
      </c>
      <c r="H6" s="4"/>
      <c r="I6" s="21"/>
    </row>
    <row r="7" spans="1:9" ht="16.8" thickTop="1" thickBot="1" x14ac:dyDescent="0.35">
      <c r="A7" s="214"/>
      <c r="B7" s="213"/>
      <c r="C7" s="214"/>
      <c r="D7" s="137" t="str">
        <f>guest_lists[[#This Row],[tour_type]]</f>
        <v>12 - DPCYT</v>
      </c>
      <c r="E7" s="137" t="str">
        <f>guest_lists[[#This Row],[guest_lists]]</f>
        <v>Gerald Lister</v>
      </c>
      <c r="F7" s="137" t="str">
        <f>guest_lists[[#This Row],[party]]</f>
        <v>party_1 G2</v>
      </c>
      <c r="G7" s="137" t="str">
        <f>guest_lists[[#This Row],[dietary_requirements2]]</f>
        <v>nil</v>
      </c>
      <c r="H7" s="4"/>
      <c r="I7" s="21"/>
    </row>
    <row r="8" spans="1:9" ht="15" customHeight="1" thickTop="1" x14ac:dyDescent="0.3">
      <c r="A8" s="212"/>
      <c r="B8" s="318" t="s">
        <v>265</v>
      </c>
      <c r="C8" s="212"/>
      <c r="D8" s="137" t="str">
        <f>guest_lists[[#This Row],[tour_type]]</f>
        <v>12 - DPCYT</v>
      </c>
      <c r="E8" s="137" t="str">
        <f>guest_lists[[#This Row],[guest_lists]]</f>
        <v>Denis Lister</v>
      </c>
      <c r="F8" s="137" t="str">
        <f>guest_lists[[#This Row],[party]]</f>
        <v>party_2 G1</v>
      </c>
      <c r="G8" s="137" t="str">
        <f>guest_lists[[#This Row],[dietary_requirements2]]</f>
        <v>nil</v>
      </c>
      <c r="H8" s="4"/>
      <c r="I8" s="21"/>
    </row>
    <row r="9" spans="1:9" ht="15" customHeight="1" thickBot="1" x14ac:dyDescent="0.35">
      <c r="A9" s="212"/>
      <c r="B9" s="319"/>
      <c r="C9" s="215"/>
      <c r="D9" s="137" t="str">
        <f>guest_lists[[#This Row],[tour_type]]</f>
        <v>12 - DSCYT</v>
      </c>
      <c r="E9" s="137" t="str">
        <f>guest_lists[[#This Row],[guest_lists]]</f>
        <v>Mark Morgan</v>
      </c>
      <c r="F9" s="137" t="str">
        <f>guest_lists[[#This Row],[party]]</f>
        <v>party_3 G1</v>
      </c>
      <c r="G9" s="137" t="str">
        <f>guest_lists[[#This Row],[dietary_requirements2]]</f>
        <v>nil</v>
      </c>
      <c r="H9" s="4"/>
      <c r="I9" s="21"/>
    </row>
    <row r="10" spans="1:9" ht="16.8" thickTop="1" thickBot="1" x14ac:dyDescent="0.35">
      <c r="A10" s="212"/>
      <c r="B10" s="213"/>
      <c r="C10" s="215"/>
      <c r="D10" s="137" t="str">
        <f>guest_lists[[#This Row],[tour_type]]</f>
        <v>12 - DSCYT</v>
      </c>
      <c r="E10" s="137" t="str">
        <f>guest_lists[[#This Row],[guest_lists]]</f>
        <v>Nicola Morgan</v>
      </c>
      <c r="F10" s="137" t="str">
        <f>guest_lists[[#This Row],[party]]</f>
        <v>party_3 G2</v>
      </c>
      <c r="G10" s="137" t="str">
        <f>guest_lists[[#This Row],[dietary_requirements2]]</f>
        <v>nil</v>
      </c>
      <c r="H10" s="4"/>
      <c r="I10" s="21"/>
    </row>
    <row r="11" spans="1:9" ht="15" thickTop="1" x14ac:dyDescent="0.3">
      <c r="A11" s="212"/>
      <c r="B11" s="318" t="s">
        <v>511</v>
      </c>
      <c r="C11" s="215"/>
      <c r="D11" s="137" t="str">
        <f>guest_lists[[#This Row],[tour_type]]</f>
        <v>12 - DSCYT</v>
      </c>
      <c r="E11" s="137" t="str">
        <f>guest_lists[[#This Row],[guest_lists]]</f>
        <v>Joan Roberts</v>
      </c>
      <c r="F11" s="137" t="str">
        <f>guest_lists[[#This Row],[party]]</f>
        <v>party_4 G1</v>
      </c>
      <c r="G11" s="137" t="str">
        <f>guest_lists[[#This Row],[dietary_requirements2]]</f>
        <v>nil</v>
      </c>
      <c r="H11" s="4"/>
      <c r="I11" s="21"/>
    </row>
    <row r="12" spans="1:9" ht="15" thickBot="1" x14ac:dyDescent="0.35">
      <c r="A12" s="212"/>
      <c r="B12" s="319"/>
      <c r="C12" s="215"/>
      <c r="D12" s="137" t="str">
        <f>guest_lists[[#This Row],[tour_type]]</f>
        <v>12 - DSCYT</v>
      </c>
      <c r="E12" s="137" t="str">
        <f>guest_lists[[#This Row],[guest_lists]]</f>
        <v>Valerie Mead</v>
      </c>
      <c r="F12" s="137" t="str">
        <f>guest_lists[[#This Row],[party]]</f>
        <v>party_4 G2</v>
      </c>
      <c r="G12" s="137" t="str">
        <f>guest_lists[[#This Row],[dietary_requirements2]]</f>
        <v>nil</v>
      </c>
      <c r="H12" s="4"/>
      <c r="I12" s="21"/>
    </row>
    <row r="13" spans="1:9" ht="16.8" thickTop="1" thickBot="1" x14ac:dyDescent="0.35">
      <c r="A13" s="212"/>
      <c r="B13" s="213"/>
      <c r="C13" s="215"/>
      <c r="D13" s="137" t="str">
        <f>guest_lists[[#This Row],[tour_type]]</f>
        <v>12 - DSCYT</v>
      </c>
      <c r="E13" s="137" t="str">
        <f>guest_lists[[#This Row],[guest_lists]]</f>
        <v>Ann Berriman</v>
      </c>
      <c r="F13" s="137" t="str">
        <f>guest_lists[[#This Row],[party]]</f>
        <v>party_5 G1</v>
      </c>
      <c r="G13" s="137" t="str">
        <f>guest_lists[[#This Row],[dietary_requirements2]]</f>
        <v>nil</v>
      </c>
      <c r="H13" s="4"/>
      <c r="I13" s="21"/>
    </row>
    <row r="14" spans="1:9" ht="15" thickTop="1" x14ac:dyDescent="0.3">
      <c r="A14" s="212"/>
      <c r="B14" s="318" t="s">
        <v>512</v>
      </c>
      <c r="C14" s="215"/>
      <c r="D14" s="137" t="str">
        <f>guest_lists[[#This Row],[tour_type]]</f>
        <v>12 - DSCYT</v>
      </c>
      <c r="E14" s="137" t="str">
        <f>guest_lists[[#This Row],[guest_lists]]</f>
        <v>Wanda Drost</v>
      </c>
      <c r="F14" s="137" t="str">
        <f>guest_lists[[#This Row],[party]]</f>
        <v>party_5 G2</v>
      </c>
      <c r="G14" s="137" t="str">
        <f>guest_lists[[#This Row],[dietary_requirements2]]</f>
        <v>celiac</v>
      </c>
      <c r="H14" s="4"/>
      <c r="I14" s="21"/>
    </row>
    <row r="15" spans="1:9" ht="15" thickBot="1" x14ac:dyDescent="0.35">
      <c r="A15" s="212"/>
      <c r="B15" s="319"/>
      <c r="C15" s="215"/>
      <c r="D15" s="137" t="str">
        <f>guest_lists[[#This Row],[tour_type]]</f>
        <v>5 - DTT</v>
      </c>
      <c r="E15" s="137" t="str">
        <f>guest_lists[[#This Row],[guest_lists]]</f>
        <v>Ian Neil</v>
      </c>
      <c r="F15" s="137" t="str">
        <f>guest_lists[[#This Row],[party]]</f>
        <v>party_6 G1</v>
      </c>
      <c r="G15" s="137" t="str">
        <f>guest_lists[[#This Row],[dietary_requirements2]]</f>
        <v>nil</v>
      </c>
      <c r="H15" s="4"/>
      <c r="I15" s="21"/>
    </row>
    <row r="16" spans="1:9" ht="15" customHeight="1" thickTop="1" thickBot="1" x14ac:dyDescent="0.35">
      <c r="A16" s="212"/>
      <c r="B16" s="213"/>
      <c r="C16" s="215"/>
      <c r="D16" s="137" t="str">
        <f>guest_lists[[#This Row],[tour_type]]</f>
        <v>5 - DTT</v>
      </c>
      <c r="E16" s="137" t="str">
        <f>guest_lists[[#This Row],[guest_lists]]</f>
        <v>Graheme Fergueson</v>
      </c>
      <c r="F16" s="137" t="str">
        <f>guest_lists[[#This Row],[party]]</f>
        <v>party_6 G2</v>
      </c>
      <c r="G16" s="137" t="str">
        <f>guest_lists[[#This Row],[dietary_requirements2]]</f>
        <v>nil</v>
      </c>
      <c r="H16" s="4"/>
      <c r="I16" s="21"/>
    </row>
    <row r="17" spans="1:9" ht="15" customHeight="1" thickTop="1" x14ac:dyDescent="0.3">
      <c r="A17" s="212"/>
      <c r="B17" s="318" t="s">
        <v>266</v>
      </c>
      <c r="C17" s="215"/>
      <c r="D17" s="137" t="str">
        <f>guest_lists[[#This Row],[tour_type]]</f>
        <v>9 - DPSYT</v>
      </c>
      <c r="E17" s="137" t="str">
        <f>guest_lists[[#This Row],[guest_lists]]</f>
        <v>Raewyn Brookie</v>
      </c>
      <c r="F17" s="137" t="str">
        <f>guest_lists[[#This Row],[party]]</f>
        <v>party_7 G1</v>
      </c>
      <c r="G17" s="137" t="str">
        <f>guest_lists[[#This Row],[dietary_requirements2]]</f>
        <v>nil</v>
      </c>
      <c r="H17" s="128"/>
      <c r="I17" s="21"/>
    </row>
    <row r="18" spans="1:9" ht="15" thickBot="1" x14ac:dyDescent="0.35">
      <c r="A18" s="212"/>
      <c r="B18" s="319"/>
      <c r="C18" s="215"/>
      <c r="D18" s="137"/>
      <c r="E18" s="137"/>
      <c r="F18" s="137"/>
      <c r="G18" s="137"/>
      <c r="H18" s="128"/>
      <c r="I18" s="21"/>
    </row>
    <row r="19" spans="1:9" ht="15" customHeight="1" thickTop="1" thickBot="1" x14ac:dyDescent="0.35">
      <c r="A19" s="212"/>
      <c r="B19" s="213"/>
      <c r="C19" s="215"/>
      <c r="D19" s="137"/>
      <c r="E19" s="137"/>
      <c r="F19" s="137"/>
      <c r="G19" s="137"/>
      <c r="H19" s="128"/>
      <c r="I19" s="21"/>
    </row>
    <row r="20" spans="1:9" ht="15" customHeight="1" thickTop="1" x14ac:dyDescent="0.3">
      <c r="A20" s="212"/>
      <c r="B20" s="318" t="s">
        <v>267</v>
      </c>
      <c r="C20" s="215"/>
      <c r="D20" s="137"/>
      <c r="E20" s="137"/>
      <c r="F20" s="137"/>
      <c r="G20" s="137"/>
      <c r="H20" s="4"/>
      <c r="I20" s="21"/>
    </row>
    <row r="21" spans="1:9" ht="15" thickBot="1" x14ac:dyDescent="0.35">
      <c r="A21" s="212"/>
      <c r="B21" s="319"/>
      <c r="C21" s="215"/>
      <c r="D21" s="19"/>
      <c r="E21" s="128"/>
      <c r="F21" s="128"/>
      <c r="G21" s="128"/>
      <c r="H21" s="4"/>
      <c r="I21" s="21"/>
    </row>
    <row r="22" spans="1:9" ht="15" customHeight="1" thickTop="1" thickBot="1" x14ac:dyDescent="0.35">
      <c r="A22" s="212"/>
      <c r="B22" s="213"/>
      <c r="C22" s="215"/>
      <c r="D22" s="325" t="s">
        <v>33</v>
      </c>
      <c r="E22" s="326"/>
      <c r="F22" s="326"/>
      <c r="G22" s="326"/>
      <c r="H22" s="326"/>
      <c r="I22" s="327"/>
    </row>
    <row r="23" spans="1:9" ht="15" customHeight="1" thickTop="1" x14ac:dyDescent="0.3">
      <c r="A23" s="212"/>
      <c r="B23" s="318" t="s">
        <v>268</v>
      </c>
      <c r="C23" s="215"/>
      <c r="D23" s="129" t="str">
        <f>Runsheet!E8</f>
        <v>Accommodation Booked</v>
      </c>
      <c r="E23" s="73" t="str">
        <f>Runsheet!E9</f>
        <v>Accommodation Entity</v>
      </c>
      <c r="F23" s="73" t="str">
        <f>Runsheet!F9</f>
        <v>Address</v>
      </c>
      <c r="G23" s="73" t="str">
        <f>Runsheet!G9</f>
        <v>Number of rooms on hold</v>
      </c>
      <c r="H23" s="73" t="str">
        <f>Runsheet!H9</f>
        <v>Bedding Configuration Booked</v>
      </c>
      <c r="I23" s="130" t="str">
        <f>Runsheet!I9</f>
        <v>Contact Details</v>
      </c>
    </row>
    <row r="24" spans="1:9" ht="15" thickBot="1" x14ac:dyDescent="0.35">
      <c r="A24" s="212"/>
      <c r="B24" s="319"/>
      <c r="C24" s="215"/>
      <c r="D24" s="131" t="str">
        <f>Runsheet!D10</f>
        <v>Accommodation #1</v>
      </c>
      <c r="E24" s="61" t="str">
        <f>data_formula_legend!E90</f>
        <v>Wildwishes</v>
      </c>
      <c r="F24" s="61" t="str">
        <f>data_formula_legend!F90</f>
        <v>Wolverton Station, Archer River QLD 4892</v>
      </c>
      <c r="G24" s="61">
        <f>data_formula_legend!G90</f>
        <v>10</v>
      </c>
      <c r="H24" s="61">
        <f>data_formula_legend!H90</f>
        <v>0</v>
      </c>
      <c r="I24" s="61">
        <f>data_formula_legend!I90</f>
        <v>429175980</v>
      </c>
    </row>
    <row r="25" spans="1:9" ht="15" customHeight="1" thickTop="1" thickBot="1" x14ac:dyDescent="0.35">
      <c r="A25" s="212"/>
      <c r="B25" s="213"/>
      <c r="C25" s="215"/>
      <c r="D25" s="131" t="str">
        <f>Runsheet!D11</f>
        <v>Accommodation #2</v>
      </c>
      <c r="E25" s="61" t="str">
        <f>data_formula_legend!E91</f>
        <v>A None</v>
      </c>
      <c r="F25" s="61">
        <f>data_formula_legend!F91</f>
        <v>0</v>
      </c>
      <c r="G25" s="61">
        <f>data_formula_legend!G91</f>
        <v>0</v>
      </c>
      <c r="H25" s="61">
        <f>data_formula_legend!H91</f>
        <v>0</v>
      </c>
      <c r="I25" s="61">
        <f>data_formula_legend!I91</f>
        <v>0</v>
      </c>
    </row>
    <row r="26" spans="1:9" ht="12.6" customHeight="1" thickTop="1" x14ac:dyDescent="0.3">
      <c r="A26" s="212"/>
      <c r="B26" s="318" t="s">
        <v>269</v>
      </c>
      <c r="C26" s="215"/>
      <c r="D26" s="131" t="str">
        <f>Runsheet!D12</f>
        <v>Accommodation #3</v>
      </c>
      <c r="E26" s="61" t="str">
        <f>data_formula_legend!E92</f>
        <v>A None</v>
      </c>
      <c r="F26" s="61">
        <f>data_formula_legend!F92</f>
        <v>0</v>
      </c>
      <c r="G26" s="61">
        <f>data_formula_legend!G96</f>
        <v>7</v>
      </c>
      <c r="H26" s="61">
        <f>data_formula_legend!H92</f>
        <v>0</v>
      </c>
      <c r="I26" s="61">
        <f>data_formula_legend!I92</f>
        <v>0</v>
      </c>
    </row>
    <row r="27" spans="1:9" ht="15" thickBot="1" x14ac:dyDescent="0.35">
      <c r="A27" s="212"/>
      <c r="B27" s="319"/>
      <c r="C27" s="215"/>
      <c r="D27" s="131" t="str">
        <f>Runsheet!D13</f>
        <v>Accommodation #4</v>
      </c>
      <c r="E27" s="61">
        <f>data_formula_legend!E93</f>
        <v>0</v>
      </c>
      <c r="F27" s="61">
        <f>data_formula_legend!F93</f>
        <v>0</v>
      </c>
      <c r="G27" s="61">
        <f>data_formula_legend!G93</f>
        <v>0</v>
      </c>
      <c r="H27" s="61">
        <f>data_formula_legend!H93</f>
        <v>0</v>
      </c>
      <c r="I27" s="61">
        <f>data_formula_legend!I93</f>
        <v>0</v>
      </c>
    </row>
    <row r="28" spans="1:9" ht="16.8" thickTop="1" thickBot="1" x14ac:dyDescent="0.35">
      <c r="A28" s="212"/>
      <c r="B28" s="213"/>
      <c r="C28" s="215"/>
      <c r="D28" s="19"/>
      <c r="E28" s="4"/>
      <c r="F28" s="20" t="str">
        <f>Runsheet!F14</f>
        <v xml:space="preserve">Total Accommodation </v>
      </c>
      <c r="G28" s="74">
        <f>Runsheet!AE14</f>
        <v>8</v>
      </c>
      <c r="H28" s="4"/>
      <c r="I28" s="21"/>
    </row>
    <row r="29" spans="1:9" ht="15" thickTop="1" x14ac:dyDescent="0.3">
      <c r="A29" s="212"/>
      <c r="B29" s="318" t="s">
        <v>270</v>
      </c>
      <c r="C29" s="215"/>
      <c r="D29" s="325" t="str">
        <f>Runsheet!D15</f>
        <v>Guests Accommodation</v>
      </c>
      <c r="E29" s="326"/>
      <c r="F29" s="326"/>
      <c r="G29" s="326"/>
      <c r="H29" s="326"/>
      <c r="I29" s="327"/>
    </row>
    <row r="30" spans="1:9" ht="15" customHeight="1" thickBot="1" x14ac:dyDescent="0.35">
      <c r="A30" s="212"/>
      <c r="B30" s="319"/>
      <c r="C30" s="215"/>
      <c r="D30" s="100" t="s">
        <v>195</v>
      </c>
      <c r="E30" s="76" t="s">
        <v>36</v>
      </c>
      <c r="F30" s="72" t="s">
        <v>33</v>
      </c>
      <c r="G30" s="20" t="s">
        <v>161</v>
      </c>
      <c r="H30" s="20" t="s">
        <v>186</v>
      </c>
      <c r="I30" s="48" t="s">
        <v>189</v>
      </c>
    </row>
    <row r="31" spans="1:9" ht="30" thickTop="1" thickBot="1" x14ac:dyDescent="0.35">
      <c r="A31" s="212"/>
      <c r="B31" s="213"/>
      <c r="C31" s="215"/>
      <c r="D31" s="353" t="str">
        <f>Runsheet!D17</f>
        <v>Party 1</v>
      </c>
      <c r="E31" s="65" t="str">
        <f>Runsheet!E17</f>
        <v>Penelope Lister</v>
      </c>
      <c r="F31" s="65" t="str">
        <f>Runsheet!AM17</f>
        <v>Wildwishes</v>
      </c>
      <c r="G31" s="65" t="str">
        <f>Runsheet!AN17</f>
        <v>double</v>
      </c>
      <c r="H31" s="65">
        <f>Runsheet!AO17</f>
        <v>0</v>
      </c>
      <c r="I31" s="314" t="str">
        <f>Runsheet!AP17</f>
        <v>1 X Dam glamping (Wild Wishes) (CONFIRMED)</v>
      </c>
    </row>
    <row r="32" spans="1:9" ht="29.4" thickTop="1" x14ac:dyDescent="0.3">
      <c r="A32" s="212"/>
      <c r="B32" s="318" t="s">
        <v>271</v>
      </c>
      <c r="C32" s="215"/>
      <c r="D32" s="353"/>
      <c r="E32" s="65" t="str">
        <f>Runsheet!E18</f>
        <v>Gerald Lister</v>
      </c>
      <c r="F32" s="65" t="str">
        <f>Runsheet!AM18</f>
        <v>Wildwishes</v>
      </c>
      <c r="G32" s="65" t="str">
        <f>Runsheet!AN18</f>
        <v>double</v>
      </c>
      <c r="H32" s="65">
        <f>Runsheet!AO18</f>
        <v>0</v>
      </c>
      <c r="I32" s="314" t="str">
        <f>Runsheet!AP18</f>
        <v>1 X Dam glamping (Wild Wishes) (CONFIRMED)</v>
      </c>
    </row>
    <row r="33" spans="1:9" ht="29.4" thickBot="1" x14ac:dyDescent="0.35">
      <c r="A33" s="212"/>
      <c r="B33" s="319"/>
      <c r="C33" s="215"/>
      <c r="D33" s="353" t="str">
        <f>Runsheet!D19</f>
        <v>Party 2</v>
      </c>
      <c r="E33" s="65" t="str">
        <f>Runsheet!E19</f>
        <v>Denis Lister</v>
      </c>
      <c r="F33" s="65" t="str">
        <f>Runsheet!AM19</f>
        <v>Wildwishes</v>
      </c>
      <c r="G33" s="65" t="str">
        <f>Runsheet!AN19</f>
        <v>double</v>
      </c>
      <c r="H33" s="65">
        <f>Runsheet!AO19</f>
        <v>0</v>
      </c>
      <c r="I33" s="314" t="str">
        <f>Runsheet!AP19</f>
        <v>1 x Station Glamping (Cattle Camp) Queen</v>
      </c>
    </row>
    <row r="34" spans="1:9" ht="15" customHeight="1" thickTop="1" thickBot="1" x14ac:dyDescent="0.35">
      <c r="A34" s="212"/>
      <c r="B34" s="213"/>
      <c r="C34" s="215"/>
      <c r="D34" s="353"/>
      <c r="E34" s="65" t="e">
        <f>Runsheet!E20</f>
        <v>#N/A</v>
      </c>
      <c r="F34" s="65">
        <f>Runsheet!AM20</f>
        <v>0</v>
      </c>
      <c r="G34" s="65">
        <f>Runsheet!AN20</f>
        <v>0</v>
      </c>
      <c r="H34" s="65">
        <f>Runsheet!AO20</f>
        <v>0</v>
      </c>
      <c r="I34" s="314">
        <f>Runsheet!AP20</f>
        <v>0</v>
      </c>
    </row>
    <row r="35" spans="1:9" ht="29.4" thickTop="1" x14ac:dyDescent="0.3">
      <c r="A35" s="212"/>
      <c r="B35" s="318" t="s">
        <v>272</v>
      </c>
      <c r="C35" s="215"/>
      <c r="D35" s="353" t="str">
        <f>Runsheet!D21</f>
        <v>Party 3</v>
      </c>
      <c r="E35" s="65" t="str">
        <f>Runsheet!E21</f>
        <v>Mark Morgan</v>
      </c>
      <c r="F35" s="65" t="str">
        <f>Runsheet!AM21</f>
        <v>Wildwishes</v>
      </c>
      <c r="G35" s="65" t="str">
        <f>Runsheet!AN21</f>
        <v>double</v>
      </c>
      <c r="H35" s="65">
        <f>Runsheet!AO21</f>
        <v>0</v>
      </c>
      <c r="I35" s="314" t="str">
        <f>Runsheet!AP21</f>
        <v>1x large queen bed donga (1) (CONFIRMED)</v>
      </c>
    </row>
    <row r="36" spans="1:9" ht="29.4" thickBot="1" x14ac:dyDescent="0.35">
      <c r="A36" s="212"/>
      <c r="B36" s="319"/>
      <c r="C36" s="215"/>
      <c r="D36" s="353"/>
      <c r="E36" s="65" t="str">
        <f>Runsheet!E22</f>
        <v>Nicola Morgan</v>
      </c>
      <c r="F36" s="65" t="str">
        <f>Runsheet!AM22</f>
        <v>Wildwishes</v>
      </c>
      <c r="G36" s="65" t="str">
        <f>Runsheet!AN22</f>
        <v>double</v>
      </c>
      <c r="H36" s="65">
        <f>Runsheet!AO22</f>
        <v>0</v>
      </c>
      <c r="I36" s="314" t="str">
        <f>Runsheet!AP22</f>
        <v>1x large queen bed donga (1) (CONFIRMED)</v>
      </c>
    </row>
    <row r="37" spans="1:9" ht="15" customHeight="1" thickTop="1" thickBot="1" x14ac:dyDescent="0.35">
      <c r="A37" s="212"/>
      <c r="B37" s="213"/>
      <c r="C37" s="215"/>
      <c r="D37" s="353" t="str">
        <f>Runsheet!D23</f>
        <v>Party 4</v>
      </c>
      <c r="E37" s="65" t="str">
        <f>Runsheet!E23</f>
        <v>Joan Roberts</v>
      </c>
      <c r="F37" s="65" t="str">
        <f>Runsheet!AM23</f>
        <v>Wildwishes</v>
      </c>
      <c r="G37" s="65" t="str">
        <f>Runsheet!AN23</f>
        <v>single</v>
      </c>
      <c r="H37" s="65">
        <f>Runsheet!AO23</f>
        <v>0</v>
      </c>
      <c r="I37" s="314" t="str">
        <f>Runsheet!AP23</f>
        <v xml:space="preserve">1x single donga </v>
      </c>
    </row>
    <row r="38" spans="1:9" ht="15" thickTop="1" x14ac:dyDescent="0.3">
      <c r="A38" s="212"/>
      <c r="B38" s="318" t="s">
        <v>273</v>
      </c>
      <c r="C38" s="215"/>
      <c r="D38" s="353"/>
      <c r="E38" s="65" t="str">
        <f>Runsheet!E24</f>
        <v>Valerie Mead</v>
      </c>
      <c r="F38" s="65" t="str">
        <f>Runsheet!AM24</f>
        <v>Wildwishes</v>
      </c>
      <c r="G38" s="65" t="str">
        <f>Runsheet!AN24</f>
        <v>single</v>
      </c>
      <c r="H38" s="65">
        <f>Runsheet!AO24</f>
        <v>0</v>
      </c>
      <c r="I38" s="314" t="str">
        <f>Runsheet!AP24</f>
        <v xml:space="preserve">1x single donga </v>
      </c>
    </row>
    <row r="39" spans="1:9" ht="15" customHeight="1" thickBot="1" x14ac:dyDescent="0.35">
      <c r="A39" s="212"/>
      <c r="B39" s="319"/>
      <c r="C39" s="215"/>
      <c r="D39" s="353" t="str">
        <f>Runsheet!D25</f>
        <v>Party 5</v>
      </c>
      <c r="E39" s="65" t="str">
        <f>Runsheet!E25</f>
        <v>Ann Berriman</v>
      </c>
      <c r="F39" s="65" t="str">
        <f>Runsheet!AM25</f>
        <v>Wildwishes</v>
      </c>
      <c r="G39" s="65" t="str">
        <f>Runsheet!AN25</f>
        <v>single</v>
      </c>
      <c r="H39" s="65">
        <f>Runsheet!AO25</f>
        <v>0</v>
      </c>
      <c r="I39" s="314" t="str">
        <f>Runsheet!AP25</f>
        <v xml:space="preserve">1x single donga </v>
      </c>
    </row>
    <row r="40" spans="1:9" ht="15" customHeight="1" thickTop="1" thickBot="1" x14ac:dyDescent="0.35">
      <c r="A40" s="212"/>
      <c r="B40" s="213"/>
      <c r="C40" s="215"/>
      <c r="D40" s="353"/>
      <c r="E40" s="65" t="str">
        <f>Runsheet!E26</f>
        <v>Wanda Drost</v>
      </c>
      <c r="F40" s="65" t="str">
        <f>Runsheet!AM26</f>
        <v>Wildwishes</v>
      </c>
      <c r="G40" s="65" t="str">
        <f>Runsheet!AN26</f>
        <v>single</v>
      </c>
      <c r="H40" s="65">
        <f>Runsheet!AO26</f>
        <v>0</v>
      </c>
      <c r="I40" s="314" t="str">
        <f>Runsheet!AP26</f>
        <v xml:space="preserve">1x single donga </v>
      </c>
    </row>
    <row r="41" spans="1:9" ht="15" thickTop="1" x14ac:dyDescent="0.3">
      <c r="A41" s="212"/>
      <c r="B41" s="318" t="s">
        <v>274</v>
      </c>
      <c r="C41" s="215"/>
      <c r="D41" s="353" t="str">
        <f>Runsheet!D27</f>
        <v>Party 6</v>
      </c>
      <c r="E41" s="65" t="str">
        <f>Runsheet!E27</f>
        <v>Ian Neil</v>
      </c>
      <c r="F41" s="65">
        <f>Runsheet!AM27</f>
        <v>0</v>
      </c>
      <c r="G41" s="65">
        <f>Runsheet!AN27</f>
        <v>0</v>
      </c>
      <c r="H41" s="65">
        <f>Runsheet!AO27</f>
        <v>0</v>
      </c>
      <c r="I41" s="314">
        <f>Runsheet!AP27</f>
        <v>0</v>
      </c>
    </row>
    <row r="42" spans="1:9" ht="15" customHeight="1" thickBot="1" x14ac:dyDescent="0.35">
      <c r="A42" s="212"/>
      <c r="B42" s="319"/>
      <c r="C42" s="215"/>
      <c r="D42" s="353"/>
      <c r="E42" s="65" t="str">
        <f>Runsheet!E28</f>
        <v>Graheme Fergueson</v>
      </c>
      <c r="F42" s="65">
        <f>Runsheet!AM28</f>
        <v>0</v>
      </c>
      <c r="G42" s="65">
        <f>Runsheet!AN28</f>
        <v>0</v>
      </c>
      <c r="H42" s="65">
        <f>Runsheet!AO28</f>
        <v>0</v>
      </c>
      <c r="I42" s="314">
        <f>Runsheet!AP28</f>
        <v>0</v>
      </c>
    </row>
    <row r="43" spans="1:9" ht="14.4" customHeight="1" thickTop="1" thickBot="1" x14ac:dyDescent="0.35">
      <c r="A43" s="212"/>
      <c r="B43" s="213"/>
      <c r="C43" s="215"/>
      <c r="D43" s="353" t="str">
        <f>Runsheet!D29</f>
        <v>Party 7</v>
      </c>
      <c r="E43" s="65" t="str">
        <f>Runsheet!E29</f>
        <v>Raewyn Brookie</v>
      </c>
      <c r="F43" s="65" t="str">
        <f>Runsheet!AM29</f>
        <v>Wildwishes</v>
      </c>
      <c r="G43" s="65" t="str">
        <f>Runsheet!AN29</f>
        <v>single</v>
      </c>
      <c r="H43" s="65">
        <f>Runsheet!AO29</f>
        <v>0</v>
      </c>
      <c r="I43" s="314" t="str">
        <f>Runsheet!AP29</f>
        <v xml:space="preserve">1x single donga </v>
      </c>
    </row>
    <row r="44" spans="1:9" ht="15" customHeight="1" thickTop="1" x14ac:dyDescent="0.3">
      <c r="A44" s="212"/>
      <c r="B44" s="318" t="s">
        <v>275</v>
      </c>
      <c r="C44" s="215"/>
      <c r="D44" s="353"/>
      <c r="E44" s="65" t="e">
        <f>Runsheet!E30</f>
        <v>#N/A</v>
      </c>
      <c r="F44" s="65">
        <f>Runsheet!AM30</f>
        <v>0</v>
      </c>
      <c r="G44" s="65">
        <f>Runsheet!AN30</f>
        <v>0</v>
      </c>
      <c r="H44" s="65">
        <f>Runsheet!AO30</f>
        <v>0</v>
      </c>
      <c r="I44" s="314">
        <f>Runsheet!AP30</f>
        <v>0</v>
      </c>
    </row>
    <row r="45" spans="1:9" ht="15" thickBot="1" x14ac:dyDescent="0.35">
      <c r="A45" s="212"/>
      <c r="B45" s="319"/>
      <c r="C45" s="215"/>
      <c r="D45" s="325" t="str">
        <f>Runsheet!D36</f>
        <v>Dinning Arrangements</v>
      </c>
      <c r="E45" s="326"/>
      <c r="F45" s="326"/>
      <c r="G45" s="326"/>
      <c r="H45" s="326"/>
      <c r="I45" s="327"/>
    </row>
    <row r="46" spans="1:9" ht="15" customHeight="1" thickTop="1" thickBot="1" x14ac:dyDescent="0.35">
      <c r="A46" s="212"/>
      <c r="B46" s="213"/>
      <c r="C46" s="215"/>
      <c r="D46" s="19"/>
      <c r="E46" s="4"/>
      <c r="F46" s="4"/>
      <c r="G46" s="4"/>
      <c r="H46" s="4"/>
      <c r="I46" s="21"/>
    </row>
    <row r="47" spans="1:9" ht="15" customHeight="1" thickTop="1" x14ac:dyDescent="0.3">
      <c r="A47" s="212"/>
      <c r="B47" s="318" t="s">
        <v>276</v>
      </c>
      <c r="C47" s="215"/>
      <c r="D47" s="328" t="str">
        <f>Runsheet!D37</f>
        <v xml:space="preserve">Breakfast </v>
      </c>
      <c r="E47" s="329" t="str">
        <f>Runsheet!AK37</f>
        <v xml:space="preserve">Milkwood - breakfast to be ordered / River of Gold - breakfast included </v>
      </c>
      <c r="F47" s="330"/>
      <c r="G47" s="330"/>
      <c r="H47" s="330"/>
      <c r="I47" s="331"/>
    </row>
    <row r="48" spans="1:9" ht="15" thickBot="1" x14ac:dyDescent="0.35">
      <c r="A48" s="212"/>
      <c r="B48" s="319"/>
      <c r="C48" s="215"/>
      <c r="D48" s="328"/>
      <c r="E48" s="332"/>
      <c r="F48" s="333"/>
      <c r="G48" s="333"/>
      <c r="H48" s="333"/>
      <c r="I48" s="334"/>
    </row>
    <row r="49" spans="1:9" ht="57.6" customHeight="1" thickTop="1" thickBot="1" x14ac:dyDescent="0.35">
      <c r="A49" s="212"/>
      <c r="B49" s="213"/>
      <c r="C49" s="215"/>
      <c r="D49" s="328" t="str">
        <f>Runsheet!D39</f>
        <v xml:space="preserve">Lunch </v>
      </c>
      <c r="E49" s="329" t="str">
        <f>Runsheet!AK39</f>
        <v>Pork Wraps on the Rd</v>
      </c>
      <c r="F49" s="330"/>
      <c r="G49" s="330"/>
      <c r="H49" s="330"/>
      <c r="I49" s="331"/>
    </row>
    <row r="50" spans="1:9" ht="15" customHeight="1" thickTop="1" x14ac:dyDescent="0.3">
      <c r="A50" s="212"/>
      <c r="B50" s="318" t="s">
        <v>277</v>
      </c>
      <c r="C50" s="215"/>
      <c r="D50" s="328"/>
      <c r="E50" s="332"/>
      <c r="F50" s="333"/>
      <c r="G50" s="333"/>
      <c r="H50" s="333"/>
      <c r="I50" s="334"/>
    </row>
    <row r="51" spans="1:9" ht="28.8" customHeight="1" thickBot="1" x14ac:dyDescent="0.35">
      <c r="A51" s="212"/>
      <c r="B51" s="319"/>
      <c r="C51" s="215"/>
      <c r="D51" s="328" t="str">
        <f>Runsheet!D41</f>
        <v xml:space="preserve">Dinner </v>
      </c>
      <c r="E51" s="329" t="str">
        <f>Runsheet!AK41</f>
        <v>Cooking at Wildwishes</v>
      </c>
      <c r="F51" s="330"/>
      <c r="G51" s="330"/>
      <c r="H51" s="330"/>
      <c r="I51" s="331"/>
    </row>
    <row r="52" spans="1:9" ht="15" customHeight="1" thickTop="1" x14ac:dyDescent="0.3">
      <c r="A52" s="212"/>
      <c r="B52" s="213"/>
      <c r="C52" s="215"/>
      <c r="D52" s="328"/>
      <c r="E52" s="332"/>
      <c r="F52" s="333"/>
      <c r="G52" s="333"/>
      <c r="H52" s="333"/>
      <c r="I52" s="334"/>
    </row>
    <row r="53" spans="1:9" ht="15" customHeight="1" x14ac:dyDescent="0.3">
      <c r="A53" s="212"/>
      <c r="B53" s="213"/>
      <c r="C53" s="215"/>
      <c r="D53" s="134"/>
      <c r="E53" s="75"/>
      <c r="F53" s="75"/>
      <c r="G53" s="75"/>
      <c r="H53" s="75"/>
      <c r="I53" s="135"/>
    </row>
    <row r="54" spans="1:9" x14ac:dyDescent="0.3">
      <c r="A54" s="212"/>
      <c r="B54" s="231"/>
      <c r="C54" s="215"/>
      <c r="D54" s="325" t="s">
        <v>210</v>
      </c>
      <c r="E54" s="326"/>
      <c r="F54" s="326"/>
      <c r="G54" s="326"/>
      <c r="H54" s="326"/>
      <c r="I54" s="327"/>
    </row>
    <row r="55" spans="1:9" ht="15" customHeight="1" x14ac:dyDescent="0.3">
      <c r="A55" s="212"/>
      <c r="B55" s="231"/>
      <c r="C55" s="215"/>
      <c r="D55" s="360" t="str">
        <f>Runsheet!AJ44</f>
        <v xml:space="preserve">Battle Camp Road /Self Guided 1 hour walk Laura Rock Art @ Split Rock </v>
      </c>
      <c r="E55" s="360"/>
      <c r="F55" s="360"/>
      <c r="G55" s="360"/>
      <c r="H55" s="360"/>
      <c r="I55" s="360"/>
    </row>
    <row r="56" spans="1:9" ht="15" customHeight="1" x14ac:dyDescent="0.3">
      <c r="A56" s="212"/>
      <c r="B56" s="213"/>
      <c r="C56" s="215"/>
      <c r="D56" s="360"/>
      <c r="E56" s="360"/>
      <c r="F56" s="360"/>
      <c r="G56" s="360"/>
      <c r="H56" s="360"/>
      <c r="I56" s="360"/>
    </row>
    <row r="57" spans="1:9" x14ac:dyDescent="0.3">
      <c r="A57" s="212"/>
      <c r="B57" s="213"/>
      <c r="C57" s="215"/>
      <c r="D57" s="360">
        <f>Runsheet!AJ45</f>
        <v>0</v>
      </c>
      <c r="E57" s="360"/>
      <c r="F57" s="360"/>
      <c r="G57" s="360"/>
      <c r="H57" s="360"/>
      <c r="I57" s="360"/>
    </row>
    <row r="58" spans="1:9" x14ac:dyDescent="0.3">
      <c r="A58" s="212"/>
      <c r="B58" s="213"/>
      <c r="C58" s="215"/>
      <c r="D58" s="360"/>
      <c r="E58" s="360"/>
      <c r="F58" s="360"/>
      <c r="G58" s="360"/>
      <c r="H58" s="360"/>
      <c r="I58" s="360"/>
    </row>
    <row r="59" spans="1:9" x14ac:dyDescent="0.3">
      <c r="A59" s="212"/>
      <c r="B59" s="213"/>
      <c r="C59" s="215"/>
      <c r="D59" s="325" t="s">
        <v>356</v>
      </c>
      <c r="E59" s="326"/>
      <c r="F59" s="326"/>
      <c r="G59" s="326"/>
      <c r="H59" s="326"/>
      <c r="I59" s="327"/>
    </row>
    <row r="60" spans="1:9" x14ac:dyDescent="0.3">
      <c r="A60" s="212"/>
      <c r="B60" s="213"/>
      <c r="C60" s="215"/>
      <c r="D60" s="232"/>
      <c r="E60" s="138" t="str" cm="1">
        <f t="array" ref="E60:H61">day_5_itinerary_highights[]</f>
        <v>Old Laura Homestead</v>
      </c>
      <c r="F60" s="138" t="str">
        <v>Rinyirru (Lakefield) National Park</v>
      </c>
      <c r="G60" s="138" t="str">
        <v>Laura art site</v>
      </c>
      <c r="H60" s="138" t="str">
        <v>Quinkan &amp; Regional Cultural Centre</v>
      </c>
      <c r="I60" s="233"/>
    </row>
    <row r="61" spans="1:9" x14ac:dyDescent="0.3">
      <c r="A61" s="212"/>
      <c r="B61" s="213"/>
      <c r="C61" s="215"/>
      <c r="D61" s="234"/>
      <c r="E61" s="235">
        <v>0</v>
      </c>
      <c r="F61" s="235">
        <v>0</v>
      </c>
      <c r="G61" s="235">
        <v>0</v>
      </c>
      <c r="H61" s="235">
        <v>0</v>
      </c>
      <c r="I61" s="236"/>
    </row>
    <row r="62" spans="1:9" x14ac:dyDescent="0.3">
      <c r="A62" s="212"/>
      <c r="B62" s="213"/>
      <c r="C62" s="215"/>
      <c r="D62" s="325" t="s">
        <v>209</v>
      </c>
      <c r="E62" s="326"/>
      <c r="F62" s="326"/>
      <c r="G62" s="326"/>
      <c r="H62" s="326"/>
      <c r="I62" s="327"/>
    </row>
    <row r="63" spans="1:9" x14ac:dyDescent="0.3">
      <c r="A63" s="212"/>
      <c r="B63" s="213"/>
      <c r="C63" s="215"/>
      <c r="D63" s="359" t="s">
        <v>97</v>
      </c>
      <c r="E63" s="33" t="s">
        <v>11</v>
      </c>
      <c r="F63" s="39" t="str">
        <f>'Rest Runsheet Food'!N10</f>
        <v>N/A</v>
      </c>
      <c r="G63" s="39">
        <f>'Rest Runsheet Food'!O10</f>
        <v>0</v>
      </c>
      <c r="H63" s="4"/>
      <c r="I63" s="21"/>
    </row>
    <row r="64" spans="1:9" x14ac:dyDescent="0.3">
      <c r="A64" s="212"/>
      <c r="B64" s="213"/>
      <c r="C64" s="215"/>
      <c r="D64" s="339"/>
      <c r="E64" s="30" t="s">
        <v>9</v>
      </c>
      <c r="F64" s="39" t="str">
        <f>'Rest Runsheet Food'!N11</f>
        <v>Chicken Wraps</v>
      </c>
      <c r="G64" s="39">
        <f>'Rest Runsheet Food'!O11</f>
        <v>11</v>
      </c>
      <c r="H64" s="4"/>
      <c r="I64" s="21"/>
    </row>
    <row r="65" spans="1:9" x14ac:dyDescent="0.3">
      <c r="A65" s="212"/>
      <c r="B65" s="213"/>
      <c r="C65" s="215"/>
      <c r="D65" s="340"/>
      <c r="E65" s="34" t="s">
        <v>1</v>
      </c>
      <c r="F65" s="39" t="str">
        <f>'Rest Runsheet Food'!N12</f>
        <v>Chicken Fried Rice</v>
      </c>
      <c r="G65" s="39">
        <f>'Rest Runsheet Food'!O12</f>
        <v>11</v>
      </c>
      <c r="H65" s="4"/>
      <c r="I65" s="21"/>
    </row>
    <row r="66" spans="1:9" x14ac:dyDescent="0.3">
      <c r="A66" s="212"/>
      <c r="B66" s="213"/>
      <c r="C66" s="215"/>
      <c r="D66" s="19"/>
      <c r="E66" s="4"/>
      <c r="F66" s="4"/>
      <c r="G66" s="4"/>
      <c r="H66" s="4"/>
      <c r="I66" s="21"/>
    </row>
    <row r="67" spans="1:9" x14ac:dyDescent="0.3">
      <c r="A67" s="212"/>
      <c r="B67" s="213"/>
      <c r="C67" s="215"/>
      <c r="D67" s="19"/>
      <c r="E67" s="4"/>
      <c r="F67" s="37" t="s">
        <v>76</v>
      </c>
      <c r="G67" s="38" t="s">
        <v>77</v>
      </c>
      <c r="H67" s="4"/>
      <c r="I67" s="21"/>
    </row>
    <row r="68" spans="1:9" x14ac:dyDescent="0.3">
      <c r="A68" s="212"/>
      <c r="B68" s="213"/>
      <c r="C68" s="215"/>
      <c r="D68" s="341" t="s">
        <v>120</v>
      </c>
      <c r="E68" s="33" t="s">
        <v>11</v>
      </c>
      <c r="F68" s="39" t="str">
        <f>'Rest Runsheet Food'!N20</f>
        <v>N/A</v>
      </c>
      <c r="G68" s="39">
        <f>'Rest Runsheet Food'!O20</f>
        <v>0</v>
      </c>
      <c r="H68" s="4"/>
      <c r="I68" s="21"/>
    </row>
    <row r="69" spans="1:9" x14ac:dyDescent="0.3">
      <c r="A69" s="212"/>
      <c r="B69" s="213"/>
      <c r="C69" s="215"/>
      <c r="D69" s="342"/>
      <c r="E69" s="30" t="s">
        <v>9</v>
      </c>
      <c r="F69" s="39" t="str">
        <f>'Rest Runsheet Food'!N21</f>
        <v>Chicken Wraps</v>
      </c>
      <c r="G69" s="39">
        <f>'Rest Runsheet Food'!O21</f>
        <v>1</v>
      </c>
      <c r="H69" s="4"/>
      <c r="I69" s="21"/>
    </row>
    <row r="70" spans="1:9" x14ac:dyDescent="0.3">
      <c r="A70" s="212"/>
      <c r="B70" s="213"/>
      <c r="C70" s="215"/>
      <c r="D70" s="343"/>
      <c r="E70" s="34" t="s">
        <v>1</v>
      </c>
      <c r="F70" s="39" t="str">
        <f>'Rest Runsheet Food'!N22</f>
        <v>Chicken Fried Rice</v>
      </c>
      <c r="G70" s="39">
        <f>'Rest Runsheet Food'!O22</f>
        <v>1</v>
      </c>
      <c r="H70" s="4"/>
      <c r="I70" s="21"/>
    </row>
    <row r="71" spans="1:9" x14ac:dyDescent="0.3">
      <c r="A71" s="212"/>
      <c r="B71" s="213"/>
      <c r="C71" s="215"/>
      <c r="D71" s="19"/>
      <c r="E71" s="4"/>
      <c r="F71" s="4"/>
      <c r="G71" s="4"/>
      <c r="H71" s="4"/>
      <c r="I71" s="21"/>
    </row>
    <row r="72" spans="1:9" x14ac:dyDescent="0.3">
      <c r="A72" s="212"/>
      <c r="B72" s="213"/>
      <c r="C72" s="215"/>
      <c r="D72" s="19"/>
      <c r="E72" s="4"/>
      <c r="F72" s="37" t="s">
        <v>76</v>
      </c>
      <c r="G72" s="38" t="s">
        <v>77</v>
      </c>
      <c r="H72" s="4"/>
      <c r="I72" s="21"/>
    </row>
    <row r="73" spans="1:9" x14ac:dyDescent="0.3">
      <c r="C73" s="218"/>
      <c r="D73" s="344" t="s">
        <v>123</v>
      </c>
      <c r="E73" s="33" t="s">
        <v>11</v>
      </c>
      <c r="F73" s="39" t="str">
        <f>'Rest Runsheet Food'!N29</f>
        <v>Continental</v>
      </c>
      <c r="G73" s="39">
        <f>'Rest Runsheet Food'!O29</f>
        <v>0</v>
      </c>
      <c r="H73" s="4"/>
      <c r="I73" s="21"/>
    </row>
    <row r="74" spans="1:9" x14ac:dyDescent="0.3">
      <c r="C74" s="218"/>
      <c r="D74" s="345"/>
      <c r="E74" s="30" t="s">
        <v>9</v>
      </c>
      <c r="F74" s="39" t="str">
        <f>'Rest Runsheet Food'!N30</f>
        <v>Chicken Wraps</v>
      </c>
      <c r="G74" s="39">
        <f>'Rest Runsheet Food'!O30</f>
        <v>0</v>
      </c>
      <c r="H74" s="4"/>
      <c r="I74" s="21"/>
    </row>
    <row r="75" spans="1:9" x14ac:dyDescent="0.3">
      <c r="C75" s="218"/>
      <c r="D75" s="346"/>
      <c r="E75" s="34" t="s">
        <v>1</v>
      </c>
      <c r="F75" s="39" t="str">
        <f>'Rest Runsheet Food'!N31</f>
        <v>Chicken Fried Rice</v>
      </c>
      <c r="G75" s="39">
        <f>'Rest Runsheet Food'!O31</f>
        <v>0</v>
      </c>
      <c r="H75" s="4"/>
      <c r="I75" s="21"/>
    </row>
    <row r="76" spans="1:9" x14ac:dyDescent="0.3">
      <c r="C76" s="218"/>
      <c r="D76" s="19"/>
      <c r="E76" s="4"/>
      <c r="F76" s="4"/>
      <c r="G76" s="4"/>
      <c r="H76" s="4"/>
      <c r="I76" s="21"/>
    </row>
    <row r="77" spans="1:9" x14ac:dyDescent="0.3">
      <c r="C77" s="218"/>
      <c r="D77" s="19"/>
      <c r="E77" s="4"/>
      <c r="F77" s="37" t="s">
        <v>76</v>
      </c>
      <c r="G77" s="38" t="s">
        <v>77</v>
      </c>
      <c r="H77" s="4"/>
      <c r="I77" s="21"/>
    </row>
    <row r="78" spans="1:9" x14ac:dyDescent="0.3">
      <c r="C78" s="218"/>
      <c r="D78" s="349" t="s">
        <v>126</v>
      </c>
      <c r="E78" s="33" t="s">
        <v>11</v>
      </c>
      <c r="F78" s="39" t="str">
        <f>'Rest Runsheet Food'!N38</f>
        <v>Continental</v>
      </c>
      <c r="G78" s="39">
        <f>'Rest Runsheet Food'!O38</f>
        <v>0</v>
      </c>
      <c r="H78" s="4"/>
      <c r="I78" s="21"/>
    </row>
    <row r="79" spans="1:9" ht="19.8" customHeight="1" x14ac:dyDescent="0.3">
      <c r="C79" s="218"/>
      <c r="D79" s="350"/>
      <c r="E79" s="30" t="s">
        <v>9</v>
      </c>
      <c r="F79" s="39" t="str">
        <f>'Rest Runsheet Food'!N39</f>
        <v>Chicken Wraps</v>
      </c>
      <c r="G79" s="39">
        <f>'Rest Runsheet Food'!O39</f>
        <v>0</v>
      </c>
      <c r="H79" s="4"/>
      <c r="I79" s="21"/>
    </row>
    <row r="80" spans="1:9" x14ac:dyDescent="0.3">
      <c r="C80" s="218"/>
      <c r="D80" s="357"/>
      <c r="E80" s="34" t="s">
        <v>1</v>
      </c>
      <c r="F80" s="39" t="str">
        <f>'Rest Runsheet Food'!N40</f>
        <v>Chicken Fried Rice</v>
      </c>
      <c r="G80" s="39">
        <f>'Rest Runsheet Food'!O40</f>
        <v>0</v>
      </c>
      <c r="H80" s="4"/>
      <c r="I80" s="21"/>
    </row>
    <row r="81" spans="3:9" x14ac:dyDescent="0.3">
      <c r="C81" s="218"/>
      <c r="D81" s="37"/>
      <c r="E81" s="30"/>
      <c r="F81" s="4"/>
      <c r="G81" s="4"/>
      <c r="H81" s="4"/>
      <c r="I81" s="21"/>
    </row>
    <row r="82" spans="3:9" x14ac:dyDescent="0.3">
      <c r="C82" s="218"/>
      <c r="D82" s="19"/>
      <c r="E82" s="4"/>
      <c r="F82" s="37" t="s">
        <v>76</v>
      </c>
      <c r="G82" s="38" t="s">
        <v>77</v>
      </c>
      <c r="H82" s="4"/>
      <c r="I82" s="21"/>
    </row>
    <row r="83" spans="3:9" x14ac:dyDescent="0.3">
      <c r="C83" s="218"/>
      <c r="D83" s="358" t="s">
        <v>128</v>
      </c>
      <c r="E83" s="33" t="s">
        <v>11</v>
      </c>
      <c r="F83" s="39" t="str">
        <f>'Rest Runsheet Food'!N47</f>
        <v>Continental</v>
      </c>
      <c r="G83" s="39">
        <f>'Rest Runsheet Food'!O47</f>
        <v>0</v>
      </c>
      <c r="H83" s="4"/>
      <c r="I83" s="21"/>
    </row>
    <row r="84" spans="3:9" x14ac:dyDescent="0.3">
      <c r="C84" s="218"/>
      <c r="D84" s="347"/>
      <c r="E84" s="30" t="s">
        <v>9</v>
      </c>
      <c r="F84" s="39" t="str">
        <f>'Rest Runsheet Food'!N48</f>
        <v>Chicken Wraps</v>
      </c>
      <c r="G84" s="39">
        <f>'Rest Runsheet Food'!O48</f>
        <v>0</v>
      </c>
      <c r="H84" s="4"/>
      <c r="I84" s="21"/>
    </row>
    <row r="85" spans="3:9" x14ac:dyDescent="0.3">
      <c r="C85" s="218"/>
      <c r="D85" s="348"/>
      <c r="E85" s="34" t="s">
        <v>1</v>
      </c>
      <c r="F85" s="39" t="str">
        <f>'Rest Runsheet Food'!N49</f>
        <v>Chicken Fried Rice</v>
      </c>
      <c r="G85" s="39">
        <f>'Rest Runsheet Food'!O49</f>
        <v>0</v>
      </c>
      <c r="H85" s="4"/>
      <c r="I85" s="21"/>
    </row>
    <row r="86" spans="3:9" x14ac:dyDescent="0.3">
      <c r="C86" s="218"/>
      <c r="D86" s="37"/>
      <c r="E86" s="30"/>
      <c r="F86" s="4"/>
      <c r="G86" s="4"/>
      <c r="H86" s="4"/>
      <c r="I86" s="21"/>
    </row>
    <row r="87" spans="3:9" x14ac:dyDescent="0.3">
      <c r="C87" s="218"/>
      <c r="D87" s="19"/>
      <c r="E87" s="4"/>
      <c r="F87" s="37" t="s">
        <v>76</v>
      </c>
      <c r="G87" s="38" t="s">
        <v>77</v>
      </c>
      <c r="H87" s="4"/>
      <c r="I87" s="21"/>
    </row>
    <row r="88" spans="3:9" x14ac:dyDescent="0.3">
      <c r="C88" s="218"/>
      <c r="D88" s="335" t="s">
        <v>135</v>
      </c>
      <c r="E88" s="33" t="s">
        <v>11</v>
      </c>
      <c r="F88" s="39" t="str">
        <f>'Rest Runsheet Food'!N57</f>
        <v>Continental</v>
      </c>
      <c r="G88" s="39">
        <f>'Rest Runsheet Food'!O57</f>
        <v>0</v>
      </c>
      <c r="H88" s="4"/>
      <c r="I88" s="21"/>
    </row>
    <row r="89" spans="3:9" x14ac:dyDescent="0.3">
      <c r="C89" s="218"/>
      <c r="D89" s="336"/>
      <c r="E89" s="30" t="s">
        <v>9</v>
      </c>
      <c r="F89" s="39" t="str">
        <f>'Rest Runsheet Food'!N58</f>
        <v>Chicken Wraps</v>
      </c>
      <c r="G89" s="39">
        <f>'Rest Runsheet Food'!O58</f>
        <v>0</v>
      </c>
      <c r="H89" s="4"/>
      <c r="I89" s="21"/>
    </row>
    <row r="90" spans="3:9" x14ac:dyDescent="0.3">
      <c r="C90" s="218"/>
      <c r="D90" s="337"/>
      <c r="E90" s="34" t="s">
        <v>1</v>
      </c>
      <c r="F90" s="39" t="str">
        <f>'Rest Runsheet Food'!N59</f>
        <v>Chicken Fried Rice</v>
      </c>
      <c r="G90" s="39">
        <f>'Rest Runsheet Food'!O59</f>
        <v>0</v>
      </c>
      <c r="H90" s="4"/>
      <c r="I90" s="21"/>
    </row>
    <row r="91" spans="3:9" x14ac:dyDescent="0.3">
      <c r="C91" s="218"/>
      <c r="D91" s="19"/>
      <c r="E91" s="4"/>
      <c r="F91" s="4"/>
      <c r="G91" s="4"/>
      <c r="H91" s="4"/>
      <c r="I91" s="21"/>
    </row>
    <row r="92" spans="3:9" ht="16.2" thickBot="1" x14ac:dyDescent="0.35">
      <c r="C92" s="218"/>
      <c r="D92" s="133"/>
      <c r="E92" s="22"/>
      <c r="F92" s="22"/>
      <c r="G92" s="22"/>
      <c r="H92" s="22"/>
      <c r="I92" s="23"/>
    </row>
    <row r="93" spans="3:9" x14ac:dyDescent="0.3">
      <c r="C93" s="218"/>
    </row>
    <row r="94" spans="3:9" x14ac:dyDescent="0.3">
      <c r="C94" s="218"/>
    </row>
    <row r="95" spans="3:9" x14ac:dyDescent="0.3">
      <c r="C95" s="218"/>
    </row>
    <row r="96" spans="3:9" x14ac:dyDescent="0.3">
      <c r="C96" s="218"/>
    </row>
    <row r="97" spans="3:3" x14ac:dyDescent="0.3">
      <c r="C97" s="218"/>
    </row>
    <row r="98" spans="3:3" x14ac:dyDescent="0.3">
      <c r="C98" s="218"/>
    </row>
    <row r="99" spans="3:3" x14ac:dyDescent="0.3">
      <c r="C99" s="218"/>
    </row>
    <row r="100" spans="3:3" x14ac:dyDescent="0.3">
      <c r="C100" s="218"/>
    </row>
    <row r="101" spans="3:3" x14ac:dyDescent="0.3">
      <c r="C101" s="218"/>
    </row>
    <row r="102" spans="3:3" x14ac:dyDescent="0.3">
      <c r="C102" s="218"/>
    </row>
    <row r="103" spans="3:3" x14ac:dyDescent="0.3">
      <c r="C103" s="218"/>
    </row>
    <row r="104" spans="3:3" x14ac:dyDescent="0.3">
      <c r="C104" s="218"/>
    </row>
    <row r="105" spans="3:3" x14ac:dyDescent="0.3">
      <c r="C105" s="218"/>
    </row>
    <row r="106" spans="3:3" x14ac:dyDescent="0.3">
      <c r="C106" s="218"/>
    </row>
    <row r="107" spans="3:3" x14ac:dyDescent="0.3">
      <c r="C107" s="218"/>
    </row>
    <row r="108" spans="3:3" x14ac:dyDescent="0.3">
      <c r="C108" s="218"/>
    </row>
    <row r="109" spans="3:3" x14ac:dyDescent="0.3">
      <c r="C109" s="218"/>
    </row>
    <row r="110" spans="3:3" x14ac:dyDescent="0.3">
      <c r="C110" s="218"/>
    </row>
    <row r="111" spans="3:3" x14ac:dyDescent="0.3">
      <c r="C111" s="218"/>
    </row>
    <row r="112" spans="3:3" x14ac:dyDescent="0.3">
      <c r="C112" s="218"/>
    </row>
    <row r="113" spans="3:3" x14ac:dyDescent="0.3">
      <c r="C113" s="218"/>
    </row>
    <row r="114" spans="3:3" x14ac:dyDescent="0.3">
      <c r="C114" s="218"/>
    </row>
    <row r="115" spans="3:3" x14ac:dyDescent="0.3">
      <c r="C115" s="218"/>
    </row>
    <row r="116" spans="3:3" x14ac:dyDescent="0.3">
      <c r="C116" s="218"/>
    </row>
    <row r="117" spans="3:3" x14ac:dyDescent="0.3">
      <c r="C117" s="218"/>
    </row>
    <row r="118" spans="3:3" x14ac:dyDescent="0.3">
      <c r="C118" s="218"/>
    </row>
    <row r="119" spans="3:3" x14ac:dyDescent="0.3">
      <c r="C119" s="218"/>
    </row>
    <row r="120" spans="3:3" x14ac:dyDescent="0.3">
      <c r="C120" s="218"/>
    </row>
    <row r="121" spans="3:3" x14ac:dyDescent="0.3">
      <c r="C121" s="218"/>
    </row>
    <row r="122" spans="3:3" x14ac:dyDescent="0.3">
      <c r="C122" s="218"/>
    </row>
    <row r="123" spans="3:3" x14ac:dyDescent="0.3">
      <c r="C123" s="218"/>
    </row>
    <row r="124" spans="3:3" x14ac:dyDescent="0.3">
      <c r="C124" s="218"/>
    </row>
    <row r="125" spans="3:3" x14ac:dyDescent="0.3">
      <c r="C125" s="218"/>
    </row>
    <row r="126" spans="3:3" x14ac:dyDescent="0.3">
      <c r="C126" s="218"/>
    </row>
    <row r="127" spans="3:3" x14ac:dyDescent="0.3">
      <c r="C127" s="218"/>
    </row>
    <row r="128" spans="3:3" x14ac:dyDescent="0.3">
      <c r="C128" s="218"/>
    </row>
    <row r="129" spans="3:3" x14ac:dyDescent="0.3">
      <c r="C129" s="218"/>
    </row>
    <row r="130" spans="3:3" x14ac:dyDescent="0.3">
      <c r="C130" s="218"/>
    </row>
    <row r="131" spans="3:3" x14ac:dyDescent="0.3">
      <c r="C131" s="218"/>
    </row>
    <row r="132" spans="3:3" x14ac:dyDescent="0.3">
      <c r="C132" s="218"/>
    </row>
    <row r="133" spans="3:3" x14ac:dyDescent="0.3">
      <c r="C133" s="218"/>
    </row>
    <row r="134" spans="3:3" x14ac:dyDescent="0.3">
      <c r="C134" s="218"/>
    </row>
    <row r="135" spans="3:3" x14ac:dyDescent="0.3">
      <c r="C135" s="218"/>
    </row>
    <row r="136" spans="3:3" x14ac:dyDescent="0.3">
      <c r="C136" s="218"/>
    </row>
    <row r="137" spans="3:3" x14ac:dyDescent="0.3">
      <c r="C137" s="218"/>
    </row>
    <row r="138" spans="3:3" x14ac:dyDescent="0.3">
      <c r="C138" s="218"/>
    </row>
    <row r="139" spans="3:3" x14ac:dyDescent="0.3">
      <c r="C139" s="218"/>
    </row>
    <row r="140" spans="3:3" x14ac:dyDescent="0.3">
      <c r="C140" s="218"/>
    </row>
    <row r="141" spans="3:3" x14ac:dyDescent="0.3">
      <c r="C141" s="218"/>
    </row>
    <row r="142" spans="3:3" x14ac:dyDescent="0.3">
      <c r="C142" s="218"/>
    </row>
    <row r="143" spans="3:3" x14ac:dyDescent="0.3">
      <c r="C143" s="218"/>
    </row>
    <row r="144" spans="3:3" x14ac:dyDescent="0.3">
      <c r="C144" s="218"/>
    </row>
    <row r="145" spans="3:3" x14ac:dyDescent="0.3">
      <c r="C145" s="218"/>
    </row>
    <row r="146" spans="3:3" x14ac:dyDescent="0.3">
      <c r="C146" s="218"/>
    </row>
    <row r="147" spans="3:3" x14ac:dyDescent="0.3">
      <c r="C147" s="218"/>
    </row>
    <row r="148" spans="3:3" x14ac:dyDescent="0.3">
      <c r="C148" s="218"/>
    </row>
    <row r="149" spans="3:3" x14ac:dyDescent="0.3">
      <c r="C149" s="218"/>
    </row>
    <row r="150" spans="3:3" x14ac:dyDescent="0.3">
      <c r="C150" s="218"/>
    </row>
    <row r="151" spans="3:3" x14ac:dyDescent="0.3">
      <c r="C151" s="218"/>
    </row>
    <row r="152" spans="3:3" x14ac:dyDescent="0.3">
      <c r="C152" s="218"/>
    </row>
    <row r="153" spans="3:3" x14ac:dyDescent="0.3">
      <c r="C153" s="218"/>
    </row>
    <row r="154" spans="3:3" x14ac:dyDescent="0.3">
      <c r="C154" s="218"/>
    </row>
    <row r="155" spans="3:3" x14ac:dyDescent="0.3">
      <c r="C155" s="218"/>
    </row>
    <row r="156" spans="3:3" x14ac:dyDescent="0.3">
      <c r="C156" s="218"/>
    </row>
    <row r="157" spans="3:3" x14ac:dyDescent="0.3">
      <c r="C157" s="218"/>
    </row>
    <row r="158" spans="3:3" x14ac:dyDescent="0.3">
      <c r="C158" s="218"/>
    </row>
    <row r="159" spans="3:3" x14ac:dyDescent="0.3">
      <c r="C159" s="218"/>
    </row>
    <row r="160" spans="3:3" x14ac:dyDescent="0.3">
      <c r="C160" s="218"/>
    </row>
    <row r="161" spans="3:3" x14ac:dyDescent="0.3">
      <c r="C161" s="218"/>
    </row>
    <row r="162" spans="3:3" x14ac:dyDescent="0.3">
      <c r="C162" s="218"/>
    </row>
    <row r="163" spans="3:3" x14ac:dyDescent="0.3">
      <c r="C163" s="218"/>
    </row>
    <row r="164" spans="3:3" x14ac:dyDescent="0.3">
      <c r="C164" s="218"/>
    </row>
    <row r="165" spans="3:3" x14ac:dyDescent="0.3">
      <c r="C165" s="218"/>
    </row>
    <row r="166" spans="3:3" x14ac:dyDescent="0.3">
      <c r="C166" s="218"/>
    </row>
    <row r="167" spans="3:3" x14ac:dyDescent="0.3">
      <c r="C167" s="218"/>
    </row>
    <row r="168" spans="3:3" x14ac:dyDescent="0.3">
      <c r="C168" s="218"/>
    </row>
    <row r="169" spans="3:3" x14ac:dyDescent="0.3">
      <c r="C169" s="218"/>
    </row>
    <row r="170" spans="3:3" x14ac:dyDescent="0.3">
      <c r="C170" s="218"/>
    </row>
    <row r="171" spans="3:3" x14ac:dyDescent="0.3">
      <c r="C171" s="218"/>
    </row>
    <row r="172" spans="3:3" x14ac:dyDescent="0.3">
      <c r="C172" s="218"/>
    </row>
    <row r="173" spans="3:3" x14ac:dyDescent="0.3">
      <c r="C173" s="218"/>
    </row>
    <row r="174" spans="3:3" x14ac:dyDescent="0.3">
      <c r="C174" s="218"/>
    </row>
    <row r="175" spans="3:3" x14ac:dyDescent="0.3">
      <c r="C175" s="218"/>
    </row>
    <row r="176" spans="3:3" x14ac:dyDescent="0.3">
      <c r="C176" s="218"/>
    </row>
    <row r="177" spans="3:3" x14ac:dyDescent="0.3">
      <c r="C177" s="218"/>
    </row>
    <row r="178" spans="3:3" x14ac:dyDescent="0.3">
      <c r="C178" s="218"/>
    </row>
    <row r="179" spans="3:3" x14ac:dyDescent="0.3">
      <c r="C179" s="218"/>
    </row>
    <row r="180" spans="3:3" x14ac:dyDescent="0.3">
      <c r="C180" s="218"/>
    </row>
    <row r="181" spans="3:3" x14ac:dyDescent="0.3">
      <c r="C181" s="218"/>
    </row>
    <row r="182" spans="3:3" x14ac:dyDescent="0.3">
      <c r="C182" s="218"/>
    </row>
    <row r="183" spans="3:3" x14ac:dyDescent="0.3">
      <c r="C183" s="218"/>
    </row>
    <row r="184" spans="3:3" x14ac:dyDescent="0.3">
      <c r="C184" s="218"/>
    </row>
    <row r="185" spans="3:3" x14ac:dyDescent="0.3">
      <c r="C185" s="218"/>
    </row>
    <row r="186" spans="3:3" x14ac:dyDescent="0.3">
      <c r="C186" s="218"/>
    </row>
    <row r="187" spans="3:3" x14ac:dyDescent="0.3">
      <c r="C187" s="218"/>
    </row>
    <row r="188" spans="3:3" x14ac:dyDescent="0.3">
      <c r="C188" s="218"/>
    </row>
    <row r="189" spans="3:3" x14ac:dyDescent="0.3">
      <c r="C189" s="218"/>
    </row>
    <row r="190" spans="3:3" x14ac:dyDescent="0.3">
      <c r="C190" s="218"/>
    </row>
    <row r="191" spans="3:3" x14ac:dyDescent="0.3">
      <c r="C191" s="218"/>
    </row>
    <row r="192" spans="3:3" x14ac:dyDescent="0.3">
      <c r="C192" s="218"/>
    </row>
    <row r="193" spans="3:3" x14ac:dyDescent="0.3">
      <c r="C193" s="218"/>
    </row>
    <row r="194" spans="3:3" x14ac:dyDescent="0.3">
      <c r="C194" s="218"/>
    </row>
    <row r="195" spans="3:3" x14ac:dyDescent="0.3">
      <c r="C195" s="218"/>
    </row>
    <row r="196" spans="3:3" x14ac:dyDescent="0.3">
      <c r="C196" s="218"/>
    </row>
    <row r="197" spans="3:3" x14ac:dyDescent="0.3">
      <c r="C197" s="218"/>
    </row>
    <row r="198" spans="3:3" x14ac:dyDescent="0.3">
      <c r="C198" s="218"/>
    </row>
    <row r="199" spans="3:3" x14ac:dyDescent="0.3">
      <c r="C199" s="218"/>
    </row>
    <row r="200" spans="3:3" x14ac:dyDescent="0.3">
      <c r="C200" s="218"/>
    </row>
    <row r="201" spans="3:3" x14ac:dyDescent="0.3">
      <c r="C201" s="218"/>
    </row>
    <row r="202" spans="3:3" x14ac:dyDescent="0.3">
      <c r="C202" s="218"/>
    </row>
    <row r="203" spans="3:3" x14ac:dyDescent="0.3">
      <c r="C203" s="218"/>
    </row>
    <row r="204" spans="3:3" x14ac:dyDescent="0.3">
      <c r="C204" s="218"/>
    </row>
    <row r="205" spans="3:3" x14ac:dyDescent="0.3">
      <c r="C205" s="218"/>
    </row>
    <row r="206" spans="3:3" x14ac:dyDescent="0.3">
      <c r="C206" s="218"/>
    </row>
    <row r="207" spans="3:3" x14ac:dyDescent="0.3">
      <c r="C207" s="218"/>
    </row>
    <row r="208" spans="3:3" x14ac:dyDescent="0.3">
      <c r="C208" s="218"/>
    </row>
    <row r="209" spans="3:3" x14ac:dyDescent="0.3">
      <c r="C209" s="218"/>
    </row>
    <row r="210" spans="3:3" x14ac:dyDescent="0.3">
      <c r="C210" s="218"/>
    </row>
    <row r="211" spans="3:3" x14ac:dyDescent="0.3">
      <c r="C211" s="218"/>
    </row>
    <row r="212" spans="3:3" x14ac:dyDescent="0.3">
      <c r="C212" s="218"/>
    </row>
    <row r="213" spans="3:3" x14ac:dyDescent="0.3">
      <c r="C213" s="218"/>
    </row>
    <row r="214" spans="3:3" x14ac:dyDescent="0.3">
      <c r="C214" s="218"/>
    </row>
    <row r="215" spans="3:3" x14ac:dyDescent="0.3">
      <c r="C215" s="218"/>
    </row>
    <row r="216" spans="3:3" x14ac:dyDescent="0.3">
      <c r="C216" s="218"/>
    </row>
    <row r="217" spans="3:3" x14ac:dyDescent="0.3">
      <c r="C217" s="218"/>
    </row>
    <row r="218" spans="3:3" x14ac:dyDescent="0.3">
      <c r="C218" s="218"/>
    </row>
    <row r="219" spans="3:3" x14ac:dyDescent="0.3">
      <c r="C219" s="218"/>
    </row>
    <row r="220" spans="3:3" x14ac:dyDescent="0.3">
      <c r="C220" s="218"/>
    </row>
    <row r="221" spans="3:3" x14ac:dyDescent="0.3">
      <c r="C221" s="218"/>
    </row>
    <row r="222" spans="3:3" x14ac:dyDescent="0.3">
      <c r="C222" s="218"/>
    </row>
    <row r="223" spans="3:3" x14ac:dyDescent="0.3">
      <c r="C223" s="218"/>
    </row>
    <row r="224" spans="3:3" x14ac:dyDescent="0.3">
      <c r="C224" s="218"/>
    </row>
    <row r="225" spans="3:3" x14ac:dyDescent="0.3">
      <c r="C225" s="218"/>
    </row>
    <row r="226" spans="3:3" x14ac:dyDescent="0.3">
      <c r="C226" s="218"/>
    </row>
    <row r="227" spans="3:3" x14ac:dyDescent="0.3">
      <c r="C227" s="218"/>
    </row>
    <row r="228" spans="3:3" x14ac:dyDescent="0.3">
      <c r="C228" s="218"/>
    </row>
    <row r="229" spans="3:3" x14ac:dyDescent="0.3">
      <c r="C229" s="218"/>
    </row>
    <row r="230" spans="3:3" x14ac:dyDescent="0.3">
      <c r="C230" s="218"/>
    </row>
    <row r="231" spans="3:3" x14ac:dyDescent="0.3">
      <c r="C231" s="218"/>
    </row>
    <row r="232" spans="3:3" x14ac:dyDescent="0.3">
      <c r="C232" s="218"/>
    </row>
    <row r="233" spans="3:3" x14ac:dyDescent="0.3">
      <c r="C233" s="218"/>
    </row>
    <row r="234" spans="3:3" x14ac:dyDescent="0.3">
      <c r="C234" s="218"/>
    </row>
    <row r="235" spans="3:3" x14ac:dyDescent="0.3">
      <c r="C235" s="218"/>
    </row>
    <row r="236" spans="3:3" x14ac:dyDescent="0.3">
      <c r="C236" s="218"/>
    </row>
    <row r="237" spans="3:3" x14ac:dyDescent="0.3">
      <c r="C237" s="218"/>
    </row>
    <row r="238" spans="3:3" x14ac:dyDescent="0.3">
      <c r="C238" s="218"/>
    </row>
    <row r="239" spans="3:3" x14ac:dyDescent="0.3">
      <c r="C239" s="218"/>
    </row>
    <row r="240" spans="3:3" x14ac:dyDescent="0.3">
      <c r="C240" s="218"/>
    </row>
    <row r="241" spans="3:3" x14ac:dyDescent="0.3">
      <c r="C241" s="218"/>
    </row>
    <row r="242" spans="3:3" x14ac:dyDescent="0.3">
      <c r="C242" s="218"/>
    </row>
    <row r="243" spans="3:3" x14ac:dyDescent="0.3">
      <c r="C243" s="218"/>
    </row>
    <row r="244" spans="3:3" x14ac:dyDescent="0.3">
      <c r="C244" s="218"/>
    </row>
    <row r="245" spans="3:3" x14ac:dyDescent="0.3">
      <c r="C245" s="218"/>
    </row>
    <row r="246" spans="3:3" x14ac:dyDescent="0.3">
      <c r="C246" s="218"/>
    </row>
    <row r="247" spans="3:3" x14ac:dyDescent="0.3">
      <c r="C247" s="218"/>
    </row>
    <row r="248" spans="3:3" x14ac:dyDescent="0.3">
      <c r="C248" s="218"/>
    </row>
    <row r="249" spans="3:3" x14ac:dyDescent="0.3">
      <c r="C249" s="218"/>
    </row>
    <row r="250" spans="3:3" x14ac:dyDescent="0.3">
      <c r="C250" s="218"/>
    </row>
    <row r="251" spans="3:3" x14ac:dyDescent="0.3">
      <c r="C251" s="218"/>
    </row>
    <row r="252" spans="3:3" x14ac:dyDescent="0.3">
      <c r="C252" s="218"/>
    </row>
    <row r="253" spans="3:3" x14ac:dyDescent="0.3">
      <c r="C253" s="218"/>
    </row>
    <row r="254" spans="3:3" x14ac:dyDescent="0.3">
      <c r="C254" s="218"/>
    </row>
    <row r="255" spans="3:3" x14ac:dyDescent="0.3">
      <c r="C255" s="218"/>
    </row>
    <row r="256" spans="3:3" x14ac:dyDescent="0.3">
      <c r="C256" s="218"/>
    </row>
    <row r="257" spans="3:3" x14ac:dyDescent="0.3">
      <c r="C257" s="218"/>
    </row>
    <row r="258" spans="3:3" x14ac:dyDescent="0.3">
      <c r="C258" s="218"/>
    </row>
    <row r="259" spans="3:3" x14ac:dyDescent="0.3">
      <c r="C259" s="218"/>
    </row>
  </sheetData>
  <mergeCells count="47">
    <mergeCell ref="E1:G1"/>
    <mergeCell ref="E2:G2"/>
    <mergeCell ref="D4:I4"/>
    <mergeCell ref="D22:I22"/>
    <mergeCell ref="D29:I29"/>
    <mergeCell ref="E47:I48"/>
    <mergeCell ref="D49:D50"/>
    <mergeCell ref="E49:I50"/>
    <mergeCell ref="D51:D52"/>
    <mergeCell ref="E51:I52"/>
    <mergeCell ref="D88:D90"/>
    <mergeCell ref="D54:I54"/>
    <mergeCell ref="D55:I56"/>
    <mergeCell ref="D57:I58"/>
    <mergeCell ref="D62:I62"/>
    <mergeCell ref="D63:D65"/>
    <mergeCell ref="D68:D70"/>
    <mergeCell ref="D59:I59"/>
    <mergeCell ref="B17:B18"/>
    <mergeCell ref="B20:B21"/>
    <mergeCell ref="D73:D75"/>
    <mergeCell ref="D78:D80"/>
    <mergeCell ref="D83:D85"/>
    <mergeCell ref="D47:D48"/>
    <mergeCell ref="D45:I45"/>
    <mergeCell ref="D31:D32"/>
    <mergeCell ref="D33:D34"/>
    <mergeCell ref="D35:D36"/>
    <mergeCell ref="D37:D38"/>
    <mergeCell ref="D39:D40"/>
    <mergeCell ref="D41:D42"/>
    <mergeCell ref="D43:D44"/>
    <mergeCell ref="B50:B51"/>
    <mergeCell ref="B23:B24"/>
    <mergeCell ref="B2:B3"/>
    <mergeCell ref="B5:B6"/>
    <mergeCell ref="B8:B9"/>
    <mergeCell ref="B11:B12"/>
    <mergeCell ref="B14:B15"/>
    <mergeCell ref="B41:B42"/>
    <mergeCell ref="B44:B45"/>
    <mergeCell ref="B47:B48"/>
    <mergeCell ref="B26:B27"/>
    <mergeCell ref="B29:B30"/>
    <mergeCell ref="B32:B33"/>
    <mergeCell ref="B35:B36"/>
    <mergeCell ref="B38:B39"/>
  </mergeCells>
  <hyperlinks>
    <hyperlink ref="B2" location="Panel!C4" display="HOME" xr:uid="{58C2F42F-6336-4902-BBDC-14BE2665E2E2}"/>
    <hyperlink ref="B5" location="Panel!C4" display="HOME" xr:uid="{9A845F3F-54A5-4F00-B648-28D201E6B467}"/>
    <hyperlink ref="B17" location="Panel!C4" display="HOME" xr:uid="{903EBBEA-A788-4E81-91C0-991AFCC0B264}"/>
    <hyperlink ref="B20" location="Panel!C4" display="HOME" xr:uid="{27C6DE2B-2CD9-4CC8-81FD-7FD66285B599}"/>
    <hyperlink ref="B23" location="Panel!C4" display="HOME" xr:uid="{2BB1C444-EF5E-4DC3-9211-9A758A17625E}"/>
    <hyperlink ref="B5:B6" location="data_formula_legend!A1" display="DATA" xr:uid="{6C41D47B-A296-493C-8B72-512DD588B9AF}"/>
    <hyperlink ref="B17:B18" location="day_1!A1" display="DAY 1" xr:uid="{27789F0C-33C9-47F7-9426-6F941EB12AA4}"/>
    <hyperlink ref="B8" location="Panel!C4" display="HOME" xr:uid="{58257B68-BB1A-40AC-9346-BB973AA2A40D}"/>
    <hyperlink ref="B8:B9" location="Runsheet!A1" display="RUNSHEET" xr:uid="{DDC5D30C-C5D5-4BC4-AB17-2B2EBA596B77}"/>
    <hyperlink ref="B20:B21" location="day_2!A1" display="DAY 2" xr:uid="{58F6DE2F-103F-4DBB-B64E-21C143178D4F}"/>
    <hyperlink ref="B23:B24" location="day_3!A1" display="DAY 3" xr:uid="{26F03A10-4EED-47EB-9037-2AF21AF930CF}"/>
    <hyperlink ref="B2:B3" location="HOME!A1" display="HOME" xr:uid="{26CCB410-F717-4B66-A9AE-B53BD4A3559D}"/>
    <hyperlink ref="B26" location="Panel!C4" display="HOME" xr:uid="{656DD0F7-ED67-4A19-97ED-B88F8A851AD0}"/>
    <hyperlink ref="B26:B27" location="day_5!A1" display="DAY 4" xr:uid="{5C70C4CC-56D2-45CB-BB9F-9CCCA561A11F}"/>
    <hyperlink ref="B29" location="Panel!C4" display="HOME" xr:uid="{547A059B-D301-4351-B21B-C8257F613152}"/>
    <hyperlink ref="B29:B30" location="day_5!A1" display="DAY 5" xr:uid="{6FAA8A80-03D8-49B8-BF44-8294325A2A57}"/>
    <hyperlink ref="B32" location="Panel!C4" display="HOME" xr:uid="{82A67BA4-FD37-4353-95FD-EA9220EE28C0}"/>
    <hyperlink ref="B32:B33" location="day_6!A1" display="DAY 6" xr:uid="{02CBFF0A-A36A-4113-8C8C-B8154672582D}"/>
    <hyperlink ref="B14:B15" location="'Food Serves'!A1" display="FOOD SERVES" xr:uid="{38C1455E-D5F7-4D69-BC6A-50E000F6AE41}"/>
    <hyperlink ref="B11:B12" location="'Rest Runsheet Food'!A1" display="RESTAURANT RUNSHEET" xr:uid="{CE1151ED-126D-48F1-BFCC-907AD68A7995}"/>
    <hyperlink ref="B14" location="Panel!C4" display="HOME" xr:uid="{1F7BC36D-5140-498C-AB4E-F8245A4A8037}"/>
    <hyperlink ref="B11" location="Panel!C4" display="HOME" xr:uid="{DFA6A198-6348-4869-A9CB-3C5FE0FFC358}"/>
    <hyperlink ref="B35" location="Panel!C4" display="HOME" xr:uid="{AA0E7CFB-4CB7-4EC2-80DC-C0EE65EC93E5}"/>
    <hyperlink ref="B35:B36" location="day_7!A1" display="DAY 7" xr:uid="{021B1D0E-8DCF-4714-930B-3255178A655E}"/>
    <hyperlink ref="B38" location="Panel!C4" display="HOME" xr:uid="{DE31D497-86E6-439A-B44F-0D5E835931AF}"/>
    <hyperlink ref="B38:B39" location="day_8!A1" display="DAY 8" xr:uid="{78CB4AB3-7281-48E7-8C3E-89119EF434A0}"/>
    <hyperlink ref="B41" location="Panel!C4" display="HOME" xr:uid="{807C97CF-F809-4AB5-982A-DA105B5E7207}"/>
    <hyperlink ref="B41:B42" location="day_9!A1" display="DAY 9" xr:uid="{6EBE6946-9B2A-49A6-949C-BCDE0920697A}"/>
    <hyperlink ref="B44" location="Panel!C4" display="HOME" xr:uid="{609DFCE2-65B5-424B-BCB9-63CA8B5709EB}"/>
    <hyperlink ref="B44:B45" location="day_10!A1" display="DAY 10" xr:uid="{1D1E42EC-6630-470A-998D-C7980562210D}"/>
    <hyperlink ref="B47" location="Panel!C4" display="HOME" xr:uid="{234117E8-EADB-410C-BBCD-CF1CDD967484}"/>
    <hyperlink ref="B47:B48" location="day_11!A1" display="DAY 11" xr:uid="{B43E4CD9-00C7-4206-9A10-B23E7A7FF9B7}"/>
    <hyperlink ref="B50" location="Panel!C4" display="HOME" xr:uid="{417A929E-3852-43F2-BE3F-E02731501923}"/>
    <hyperlink ref="B50:B51" location="day_12!A1" display="DAY 12" xr:uid="{32DA9EDB-0817-410C-A331-67B82567B63B}"/>
  </hyperlinks>
  <pageMargins left="0.19685039370078741" right="0.19685039370078741" top="0.19685039370078741" bottom="0" header="0" footer="0"/>
  <pageSetup paperSize="9" scale="54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6B58F-BF2F-44B0-B517-708E00894EEE}">
  <sheetPr codeName="Sheet14">
    <pageSetUpPr fitToPage="1"/>
  </sheetPr>
  <dimension ref="A1:I259"/>
  <sheetViews>
    <sheetView topLeftCell="A4" workbookViewId="0">
      <selection activeCell="B11" sqref="B11:B12"/>
    </sheetView>
  </sheetViews>
  <sheetFormatPr defaultRowHeight="15.6" x14ac:dyDescent="0.3"/>
  <cols>
    <col min="1" max="1" width="1.77734375" style="216" customWidth="1"/>
    <col min="2" max="2" width="14" style="217" bestFit="1" customWidth="1"/>
    <col min="3" max="3" width="1.77734375" style="216" customWidth="1"/>
    <col min="4" max="4" width="45.6640625" bestFit="1" customWidth="1"/>
    <col min="5" max="5" width="20.77734375" bestFit="1" customWidth="1"/>
    <col min="6" max="6" width="41.33203125" bestFit="1" customWidth="1"/>
    <col min="7" max="7" width="23.44140625" bestFit="1" customWidth="1"/>
    <col min="8" max="8" width="27.77734375" bestFit="1" customWidth="1"/>
    <col min="9" max="9" width="14" bestFit="1" customWidth="1"/>
  </cols>
  <sheetData>
    <row r="1" spans="1:9" ht="16.2" thickBot="1" x14ac:dyDescent="0.35">
      <c r="A1" s="212"/>
      <c r="B1" s="213"/>
      <c r="C1" s="212"/>
      <c r="D1" s="16"/>
      <c r="E1" s="351" t="str">
        <f>Runsheet!AS7</f>
        <v>Day 6</v>
      </c>
      <c r="F1" s="351"/>
      <c r="G1" s="351"/>
      <c r="H1" s="17"/>
      <c r="I1" s="18"/>
    </row>
    <row r="2" spans="1:9" ht="15" customHeight="1" thickTop="1" x14ac:dyDescent="0.3">
      <c r="A2" s="212"/>
      <c r="B2" s="318" t="s">
        <v>264</v>
      </c>
      <c r="C2" s="212"/>
      <c r="D2" s="19"/>
      <c r="E2" s="352">
        <f>Runsheet!AS6</f>
        <v>44791</v>
      </c>
      <c r="F2" s="352"/>
      <c r="G2" s="352"/>
      <c r="H2" s="4"/>
      <c r="I2" s="21"/>
    </row>
    <row r="3" spans="1:9" ht="15" customHeight="1" thickBot="1" x14ac:dyDescent="0.35">
      <c r="A3" s="212"/>
      <c r="B3" s="319"/>
      <c r="C3" s="212"/>
      <c r="D3" s="19"/>
      <c r="E3" s="144"/>
      <c r="F3" s="144"/>
      <c r="G3" s="144"/>
      <c r="H3" s="4"/>
      <c r="I3" s="21"/>
    </row>
    <row r="4" spans="1:9" ht="16.8" thickTop="1" thickBot="1" x14ac:dyDescent="0.35">
      <c r="A4" s="212"/>
      <c r="B4" s="213"/>
      <c r="C4" s="212"/>
      <c r="D4" s="354" t="s">
        <v>179</v>
      </c>
      <c r="E4" s="355"/>
      <c r="F4" s="355"/>
      <c r="G4" s="355"/>
      <c r="H4" s="355"/>
      <c r="I4" s="356"/>
    </row>
    <row r="5" spans="1:9" ht="15" customHeight="1" thickTop="1" x14ac:dyDescent="0.3">
      <c r="A5" s="212"/>
      <c r="B5" s="320" t="s">
        <v>247</v>
      </c>
      <c r="C5" s="212"/>
      <c r="D5" s="136" t="s">
        <v>37</v>
      </c>
      <c r="E5" s="136" t="s">
        <v>190</v>
      </c>
      <c r="F5" s="136" t="s">
        <v>195</v>
      </c>
      <c r="G5" s="136" t="s">
        <v>200</v>
      </c>
      <c r="H5" s="4"/>
      <c r="I5" s="21"/>
    </row>
    <row r="6" spans="1:9" ht="15" customHeight="1" thickBot="1" x14ac:dyDescent="0.35">
      <c r="A6" s="212"/>
      <c r="B6" s="321"/>
      <c r="C6" s="212"/>
      <c r="D6" s="137" t="str">
        <f>guest_lists[[#This Row],[tour_type]]</f>
        <v>12 - DPCYT</v>
      </c>
      <c r="E6" s="137" t="str">
        <f>guest_lists[[#This Row],[guest_lists]]</f>
        <v>Penelope Lister</v>
      </c>
      <c r="F6" s="137" t="str">
        <f>guest_lists[[#This Row],[party]]</f>
        <v>party_1 G1</v>
      </c>
      <c r="G6" s="137" t="str">
        <f>guest_lists[[#This Row],[dietary_requirements2]]</f>
        <v>nil</v>
      </c>
      <c r="H6" s="4"/>
      <c r="I6" s="21"/>
    </row>
    <row r="7" spans="1:9" ht="16.8" thickTop="1" thickBot="1" x14ac:dyDescent="0.35">
      <c r="A7" s="214"/>
      <c r="B7" s="213"/>
      <c r="C7" s="214"/>
      <c r="D7" s="137" t="str">
        <f>guest_lists[[#This Row],[tour_type]]</f>
        <v>12 - DPCYT</v>
      </c>
      <c r="E7" s="137" t="str">
        <f>guest_lists[[#This Row],[guest_lists]]</f>
        <v>Gerald Lister</v>
      </c>
      <c r="F7" s="137" t="str">
        <f>guest_lists[[#This Row],[party]]</f>
        <v>party_1 G2</v>
      </c>
      <c r="G7" s="137" t="str">
        <f>guest_lists[[#This Row],[dietary_requirements2]]</f>
        <v>nil</v>
      </c>
      <c r="H7" s="4"/>
      <c r="I7" s="21"/>
    </row>
    <row r="8" spans="1:9" ht="15" customHeight="1" thickTop="1" x14ac:dyDescent="0.3">
      <c r="A8" s="212"/>
      <c r="B8" s="318" t="s">
        <v>265</v>
      </c>
      <c r="C8" s="212"/>
      <c r="D8" s="137" t="str">
        <f>guest_lists[[#This Row],[tour_type]]</f>
        <v>12 - DPCYT</v>
      </c>
      <c r="E8" s="137" t="str">
        <f>guest_lists[[#This Row],[guest_lists]]</f>
        <v>Denis Lister</v>
      </c>
      <c r="F8" s="137" t="str">
        <f>guest_lists[[#This Row],[party]]</f>
        <v>party_2 G1</v>
      </c>
      <c r="G8" s="137" t="str">
        <f>guest_lists[[#This Row],[dietary_requirements2]]</f>
        <v>nil</v>
      </c>
      <c r="H8" s="4"/>
      <c r="I8" s="21"/>
    </row>
    <row r="9" spans="1:9" ht="15" customHeight="1" thickBot="1" x14ac:dyDescent="0.35">
      <c r="A9" s="212"/>
      <c r="B9" s="319"/>
      <c r="C9" s="215"/>
      <c r="D9" s="137" t="str">
        <f>guest_lists[[#This Row],[tour_type]]</f>
        <v>12 - DSCYT</v>
      </c>
      <c r="E9" s="137" t="str">
        <f>guest_lists[[#This Row],[guest_lists]]</f>
        <v>Mark Morgan</v>
      </c>
      <c r="F9" s="137" t="str">
        <f>guest_lists[[#This Row],[party]]</f>
        <v>party_3 G1</v>
      </c>
      <c r="G9" s="137" t="str">
        <f>guest_lists[[#This Row],[dietary_requirements2]]</f>
        <v>nil</v>
      </c>
      <c r="H9" s="4"/>
      <c r="I9" s="21"/>
    </row>
    <row r="10" spans="1:9" ht="16.8" thickTop="1" thickBot="1" x14ac:dyDescent="0.35">
      <c r="A10" s="212"/>
      <c r="B10" s="213"/>
      <c r="C10" s="215"/>
      <c r="D10" s="137" t="str">
        <f>guest_lists[[#This Row],[tour_type]]</f>
        <v>12 - DSCYT</v>
      </c>
      <c r="E10" s="137" t="str">
        <f>guest_lists[[#This Row],[guest_lists]]</f>
        <v>Nicola Morgan</v>
      </c>
      <c r="F10" s="137" t="str">
        <f>guest_lists[[#This Row],[party]]</f>
        <v>party_3 G2</v>
      </c>
      <c r="G10" s="137" t="str">
        <f>guest_lists[[#This Row],[dietary_requirements2]]</f>
        <v>nil</v>
      </c>
      <c r="H10" s="4"/>
      <c r="I10" s="21"/>
    </row>
    <row r="11" spans="1:9" ht="15" customHeight="1" thickTop="1" x14ac:dyDescent="0.3">
      <c r="A11" s="212"/>
      <c r="B11" s="318" t="s">
        <v>511</v>
      </c>
      <c r="C11" s="215"/>
      <c r="D11" s="137" t="str">
        <f>guest_lists[[#This Row],[tour_type]]</f>
        <v>12 - DSCYT</v>
      </c>
      <c r="E11" s="137" t="str">
        <f>guest_lists[[#This Row],[guest_lists]]</f>
        <v>Joan Roberts</v>
      </c>
      <c r="F11" s="137" t="str">
        <f>guest_lists[[#This Row],[party]]</f>
        <v>party_4 G1</v>
      </c>
      <c r="G11" s="137" t="str">
        <f>guest_lists[[#This Row],[dietary_requirements2]]</f>
        <v>nil</v>
      </c>
      <c r="H11" s="4"/>
      <c r="I11" s="21"/>
    </row>
    <row r="12" spans="1:9" ht="15" customHeight="1" thickBot="1" x14ac:dyDescent="0.35">
      <c r="A12" s="212"/>
      <c r="B12" s="319"/>
      <c r="C12" s="215"/>
      <c r="D12" s="137" t="str">
        <f>guest_lists[[#This Row],[tour_type]]</f>
        <v>12 - DSCYT</v>
      </c>
      <c r="E12" s="137" t="str">
        <f>guest_lists[[#This Row],[guest_lists]]</f>
        <v>Valerie Mead</v>
      </c>
      <c r="F12" s="137" t="str">
        <f>guest_lists[[#This Row],[party]]</f>
        <v>party_4 G2</v>
      </c>
      <c r="G12" s="137" t="str">
        <f>guest_lists[[#This Row],[dietary_requirements2]]</f>
        <v>nil</v>
      </c>
      <c r="H12" s="128"/>
      <c r="I12" s="21"/>
    </row>
    <row r="13" spans="1:9" ht="16.8" thickTop="1" thickBot="1" x14ac:dyDescent="0.35">
      <c r="A13" s="212"/>
      <c r="B13" s="213"/>
      <c r="C13" s="215"/>
      <c r="D13" s="137" t="str">
        <f>guest_lists[[#This Row],[tour_type]]</f>
        <v>12 - DSCYT</v>
      </c>
      <c r="E13" s="137" t="str">
        <f>guest_lists[[#This Row],[guest_lists]]</f>
        <v>Ann Berriman</v>
      </c>
      <c r="F13" s="137" t="str">
        <f>guest_lists[[#This Row],[party]]</f>
        <v>party_5 G1</v>
      </c>
      <c r="G13" s="137" t="str">
        <f>guest_lists[[#This Row],[dietary_requirements2]]</f>
        <v>nil</v>
      </c>
      <c r="H13" s="128"/>
      <c r="I13" s="21"/>
    </row>
    <row r="14" spans="1:9" ht="15" customHeight="1" thickTop="1" x14ac:dyDescent="0.3">
      <c r="A14" s="212"/>
      <c r="B14" s="318" t="s">
        <v>512</v>
      </c>
      <c r="C14" s="215"/>
      <c r="D14" s="137" t="str">
        <f>guest_lists[[#This Row],[tour_type]]</f>
        <v>12 - DSCYT</v>
      </c>
      <c r="E14" s="137" t="str">
        <f>guest_lists[[#This Row],[guest_lists]]</f>
        <v>Wanda Drost</v>
      </c>
      <c r="F14" s="137" t="str">
        <f>guest_lists[[#This Row],[party]]</f>
        <v>party_5 G2</v>
      </c>
      <c r="G14" s="137" t="str">
        <f>guest_lists[[#This Row],[dietary_requirements2]]</f>
        <v>celiac</v>
      </c>
      <c r="H14" s="128"/>
      <c r="I14" s="21"/>
    </row>
    <row r="15" spans="1:9" ht="15" customHeight="1" thickBot="1" x14ac:dyDescent="0.35">
      <c r="A15" s="212"/>
      <c r="B15" s="319"/>
      <c r="C15" s="215"/>
      <c r="D15" s="137" t="str">
        <f>guest_lists[[#This Row],[tour_type]]</f>
        <v>5 - DTT</v>
      </c>
      <c r="E15" s="137" t="str">
        <f>guest_lists[[#This Row],[guest_lists]]</f>
        <v>Ian Neil</v>
      </c>
      <c r="F15" s="137" t="str">
        <f>guest_lists[[#This Row],[party]]</f>
        <v>party_6 G1</v>
      </c>
      <c r="G15" s="137" t="str">
        <f>guest_lists[[#This Row],[dietary_requirements2]]</f>
        <v>nil</v>
      </c>
      <c r="H15" s="4"/>
      <c r="I15" s="21"/>
    </row>
    <row r="16" spans="1:9" ht="16.8" thickTop="1" thickBot="1" x14ac:dyDescent="0.35">
      <c r="A16" s="212"/>
      <c r="B16" s="213"/>
      <c r="C16" s="215"/>
      <c r="D16" s="137" t="str">
        <f>guest_lists[[#This Row],[tour_type]]</f>
        <v>5 - DTT</v>
      </c>
      <c r="E16" s="137" t="str">
        <f>guest_lists[[#This Row],[guest_lists]]</f>
        <v>Graheme Fergueson</v>
      </c>
      <c r="F16" s="137" t="str">
        <f>guest_lists[[#This Row],[party]]</f>
        <v>party_6 G2</v>
      </c>
      <c r="G16" s="137" t="str">
        <f>guest_lists[[#This Row],[dietary_requirements2]]</f>
        <v>nil</v>
      </c>
      <c r="H16" s="4"/>
      <c r="I16" s="21"/>
    </row>
    <row r="17" spans="1:9" ht="15" thickTop="1" x14ac:dyDescent="0.3">
      <c r="A17" s="212"/>
      <c r="B17" s="318" t="s">
        <v>266</v>
      </c>
      <c r="C17" s="215"/>
      <c r="D17" s="137" t="str">
        <f>guest_lists[[#This Row],[tour_type]]</f>
        <v>9 - DPSYT</v>
      </c>
      <c r="E17" s="137" t="str">
        <f>guest_lists[[#This Row],[guest_lists]]</f>
        <v>Raewyn Brookie</v>
      </c>
      <c r="F17" s="137" t="str">
        <f>guest_lists[[#This Row],[party]]</f>
        <v>party_7 G1</v>
      </c>
      <c r="G17" s="137" t="str">
        <f>guest_lists[[#This Row],[dietary_requirements2]]</f>
        <v>nil</v>
      </c>
      <c r="H17" s="4"/>
      <c r="I17" s="21"/>
    </row>
    <row r="18" spans="1:9" ht="15" thickBot="1" x14ac:dyDescent="0.35">
      <c r="A18" s="212"/>
      <c r="B18" s="319"/>
      <c r="C18" s="215"/>
      <c r="D18" s="137" t="e">
        <f>guest_lists[[#This Row],[tour_type]]</f>
        <v>#VALUE!</v>
      </c>
      <c r="E18" s="137" t="e">
        <f>guest_lists[[#This Row],[guest_lists]]</f>
        <v>#VALUE!</v>
      </c>
      <c r="F18" s="137" t="e">
        <f>guest_lists[[#This Row],[party]]</f>
        <v>#VALUE!</v>
      </c>
      <c r="G18" s="137" t="e">
        <f>guest_lists[[#This Row],[dietary_requirements2]]</f>
        <v>#VALUE!</v>
      </c>
      <c r="H18" s="4"/>
      <c r="I18" s="21"/>
    </row>
    <row r="19" spans="1:9" ht="15" customHeight="1" thickTop="1" thickBot="1" x14ac:dyDescent="0.35">
      <c r="A19" s="212"/>
      <c r="B19" s="213"/>
      <c r="C19" s="215"/>
      <c r="D19" s="325" t="s">
        <v>33</v>
      </c>
      <c r="E19" s="326"/>
      <c r="F19" s="326"/>
      <c r="G19" s="326"/>
      <c r="H19" s="326"/>
      <c r="I19" s="327"/>
    </row>
    <row r="20" spans="1:9" ht="15" customHeight="1" thickTop="1" x14ac:dyDescent="0.3">
      <c r="A20" s="212"/>
      <c r="B20" s="318" t="s">
        <v>267</v>
      </c>
      <c r="C20" s="215"/>
      <c r="D20" s="129" t="str">
        <f>Runsheet!E8</f>
        <v>Accommodation Booked</v>
      </c>
      <c r="E20" s="73" t="str">
        <f>Runsheet!E9</f>
        <v>Accommodation Entity</v>
      </c>
      <c r="F20" s="73" t="str">
        <f>Runsheet!F9</f>
        <v>Address</v>
      </c>
      <c r="G20" s="73" t="str">
        <f>Runsheet!G9</f>
        <v>Number of rooms on hold</v>
      </c>
      <c r="H20" s="73" t="str">
        <f>Runsheet!H9</f>
        <v>Bedding Configuration Booked</v>
      </c>
      <c r="I20" s="130" t="str">
        <f>Runsheet!I9</f>
        <v>Contact Details</v>
      </c>
    </row>
    <row r="21" spans="1:9" ht="15" thickBot="1" x14ac:dyDescent="0.35">
      <c r="A21" s="212"/>
      <c r="B21" s="319"/>
      <c r="C21" s="215"/>
      <c r="D21" s="131" t="str">
        <f>Runsheet!D10</f>
        <v>Accommodation #1</v>
      </c>
      <c r="E21" s="61" t="str">
        <f>Runsheet!AS10</f>
        <v>GreenHoose</v>
      </c>
      <c r="F21" s="61" t="str">
        <f>Runsheet!AT10</f>
        <v>161 Lockhart River Rd, Lockhart River QLD 4892</v>
      </c>
      <c r="G21" s="61">
        <f>Runsheet!AU10</f>
        <v>7</v>
      </c>
      <c r="H21" s="61">
        <f>Runsheet!AV10</f>
        <v>0</v>
      </c>
      <c r="I21" s="61" t="str">
        <f>Runsheet!AW10</f>
        <v>(07) 4060 7067</v>
      </c>
    </row>
    <row r="22" spans="1:9" ht="15" customHeight="1" thickTop="1" thickBot="1" x14ac:dyDescent="0.35">
      <c r="A22" s="212"/>
      <c r="B22" s="213"/>
      <c r="C22" s="215"/>
      <c r="D22" s="131" t="str">
        <f>Runsheet!D11</f>
        <v>Accommodation #2</v>
      </c>
      <c r="E22" s="61" t="str">
        <f>Runsheet!AS11</f>
        <v>A None</v>
      </c>
      <c r="F22" s="61">
        <f>Runsheet!AT11</f>
        <v>0</v>
      </c>
      <c r="G22" s="61">
        <f>Runsheet!AU11</f>
        <v>0</v>
      </c>
      <c r="H22" s="61">
        <f>Runsheet!AV11</f>
        <v>0</v>
      </c>
      <c r="I22" s="61">
        <f>Runsheet!AW11</f>
        <v>0</v>
      </c>
    </row>
    <row r="23" spans="1:9" ht="12.6" customHeight="1" thickTop="1" x14ac:dyDescent="0.3">
      <c r="A23" s="212"/>
      <c r="B23" s="318" t="s">
        <v>268</v>
      </c>
      <c r="C23" s="215"/>
      <c r="D23" s="131" t="str">
        <f>Runsheet!D12</f>
        <v>Accommodation #3</v>
      </c>
      <c r="E23" s="61" t="str">
        <f>Runsheet!AS12</f>
        <v>A None</v>
      </c>
      <c r="F23" s="61">
        <f>Runsheet!AT12</f>
        <v>0</v>
      </c>
      <c r="G23" s="61">
        <f>Runsheet!AU12</f>
        <v>0</v>
      </c>
      <c r="H23" s="61">
        <f>Runsheet!AV12</f>
        <v>0</v>
      </c>
      <c r="I23" s="61">
        <f>Runsheet!AW12</f>
        <v>0</v>
      </c>
    </row>
    <row r="24" spans="1:9" ht="15" thickBot="1" x14ac:dyDescent="0.35">
      <c r="A24" s="212"/>
      <c r="B24" s="319"/>
      <c r="C24" s="215"/>
      <c r="D24" s="131" t="str">
        <f>Runsheet!D13</f>
        <v>Accommodation #4</v>
      </c>
      <c r="E24" s="61" t="str">
        <f>Runsheet!AS13</f>
        <v>A None</v>
      </c>
      <c r="F24" s="61">
        <f>Runsheet!AT13</f>
        <v>0</v>
      </c>
      <c r="G24" s="61">
        <f>Runsheet!AU13</f>
        <v>0</v>
      </c>
      <c r="H24" s="61">
        <f>Runsheet!AV13</f>
        <v>0</v>
      </c>
      <c r="I24" s="61">
        <f>Runsheet!AW13</f>
        <v>0</v>
      </c>
    </row>
    <row r="25" spans="1:9" ht="15.6" customHeight="1" thickTop="1" thickBot="1" x14ac:dyDescent="0.35">
      <c r="A25" s="212"/>
      <c r="B25" s="213"/>
      <c r="C25" s="215"/>
      <c r="D25" s="19"/>
      <c r="E25" s="4"/>
      <c r="F25" s="20" t="str">
        <f>Runsheet!F14</f>
        <v xml:space="preserve">Total Accommodation </v>
      </c>
      <c r="G25" s="74">
        <f>Runsheet!AE14</f>
        <v>8</v>
      </c>
      <c r="H25" s="4"/>
      <c r="I25" s="21"/>
    </row>
    <row r="26" spans="1:9" ht="15.6" customHeight="1" thickTop="1" x14ac:dyDescent="0.3">
      <c r="A26" s="212"/>
      <c r="B26" s="318" t="s">
        <v>269</v>
      </c>
      <c r="C26" s="215"/>
      <c r="D26" s="19"/>
      <c r="E26" s="4"/>
      <c r="F26" s="4"/>
      <c r="G26" s="4"/>
      <c r="H26" s="4"/>
      <c r="I26" s="21"/>
    </row>
    <row r="27" spans="1:9" ht="15" thickBot="1" x14ac:dyDescent="0.35">
      <c r="A27" s="212"/>
      <c r="B27" s="319"/>
      <c r="C27" s="215"/>
      <c r="D27" s="325" t="str">
        <f>Runsheet!D15</f>
        <v>Guests Accommodation</v>
      </c>
      <c r="E27" s="326"/>
      <c r="F27" s="326"/>
      <c r="G27" s="326"/>
      <c r="H27" s="326"/>
      <c r="I27" s="327"/>
    </row>
    <row r="28" spans="1:9" ht="15" customHeight="1" thickTop="1" thickBot="1" x14ac:dyDescent="0.35">
      <c r="A28" s="212"/>
      <c r="B28" s="213"/>
      <c r="C28" s="215"/>
      <c r="D28" s="100" t="s">
        <v>195</v>
      </c>
      <c r="E28" s="76" t="s">
        <v>36</v>
      </c>
      <c r="F28" s="72" t="s">
        <v>33</v>
      </c>
      <c r="G28" s="20" t="s">
        <v>161</v>
      </c>
      <c r="H28" s="20" t="s">
        <v>186</v>
      </c>
      <c r="I28" s="48" t="s">
        <v>189</v>
      </c>
    </row>
    <row r="29" spans="1:9" ht="15" customHeight="1" thickTop="1" x14ac:dyDescent="0.3">
      <c r="A29" s="212"/>
      <c r="B29" s="318" t="s">
        <v>270</v>
      </c>
      <c r="C29" s="215"/>
      <c r="D29" s="353" t="str">
        <f>Runsheet!D17</f>
        <v>Party 1</v>
      </c>
      <c r="E29" s="65" t="str">
        <f>Runsheet!E17</f>
        <v>Penelope Lister</v>
      </c>
      <c r="F29" s="65" t="str">
        <f>Runsheet!AU17</f>
        <v>GreenHoose</v>
      </c>
      <c r="G29" s="65" t="str">
        <f>Runsheet!AV17</f>
        <v>double</v>
      </c>
      <c r="H29" s="65">
        <f>Runsheet!AW17</f>
        <v>0</v>
      </c>
      <c r="I29" s="65">
        <f>Runsheet!AX17</f>
        <v>0</v>
      </c>
    </row>
    <row r="30" spans="1:9" ht="15" thickBot="1" x14ac:dyDescent="0.35">
      <c r="A30" s="212"/>
      <c r="B30" s="319"/>
      <c r="C30" s="215"/>
      <c r="D30" s="353"/>
      <c r="E30" s="65" t="str">
        <f>Runsheet!E18</f>
        <v>Gerald Lister</v>
      </c>
      <c r="F30" s="65" t="str">
        <f>Runsheet!AU18</f>
        <v>GreenHoose</v>
      </c>
      <c r="G30" s="65" t="str">
        <f>Runsheet!AV18</f>
        <v>double</v>
      </c>
      <c r="H30" s="65">
        <f>Runsheet!AW18</f>
        <v>0</v>
      </c>
      <c r="I30" s="65">
        <f>Runsheet!AX18</f>
        <v>0</v>
      </c>
    </row>
    <row r="31" spans="1:9" ht="15" customHeight="1" thickTop="1" thickBot="1" x14ac:dyDescent="0.35">
      <c r="A31" s="212"/>
      <c r="B31" s="213"/>
      <c r="C31" s="215"/>
      <c r="D31" s="353" t="str">
        <f>Runsheet!D19</f>
        <v>Party 2</v>
      </c>
      <c r="E31" s="65" t="str">
        <f>Runsheet!E19</f>
        <v>Denis Lister</v>
      </c>
      <c r="F31" s="65" t="str">
        <f>Runsheet!AU19</f>
        <v>GreenHoose</v>
      </c>
      <c r="G31" s="65" t="str">
        <f>Runsheet!AV19</f>
        <v>double</v>
      </c>
      <c r="H31" s="65">
        <f>Runsheet!AW19</f>
        <v>0</v>
      </c>
      <c r="I31" s="65">
        <f>Runsheet!AX19</f>
        <v>0</v>
      </c>
    </row>
    <row r="32" spans="1:9" ht="15" customHeight="1" thickTop="1" x14ac:dyDescent="0.3">
      <c r="A32" s="212"/>
      <c r="B32" s="318" t="s">
        <v>271</v>
      </c>
      <c r="C32" s="215"/>
      <c r="D32" s="353"/>
      <c r="E32" s="65" t="e">
        <f>Runsheet!E20</f>
        <v>#N/A</v>
      </c>
      <c r="F32" s="65">
        <f>Runsheet!AU20</f>
        <v>0</v>
      </c>
      <c r="G32" s="65">
        <f>Runsheet!AV20</f>
        <v>0</v>
      </c>
      <c r="H32" s="65">
        <f>Runsheet!AW20</f>
        <v>0</v>
      </c>
      <c r="I32" s="65">
        <f>Runsheet!AX20</f>
        <v>0</v>
      </c>
    </row>
    <row r="33" spans="1:9" ht="15" thickBot="1" x14ac:dyDescent="0.35">
      <c r="A33" s="212"/>
      <c r="B33" s="319"/>
      <c r="C33" s="215"/>
      <c r="D33" s="353" t="str">
        <f>Runsheet!D21</f>
        <v>Party 3</v>
      </c>
      <c r="E33" s="65" t="str">
        <f>Runsheet!E21</f>
        <v>Mark Morgan</v>
      </c>
      <c r="F33" s="65" t="str">
        <f>Runsheet!AU21</f>
        <v>GreenHoose</v>
      </c>
      <c r="G33" s="65" t="str">
        <f>Runsheet!AV21</f>
        <v>double</v>
      </c>
      <c r="H33" s="65">
        <f>Runsheet!AW21</f>
        <v>0</v>
      </c>
      <c r="I33" s="65">
        <f>Runsheet!AX21</f>
        <v>0</v>
      </c>
    </row>
    <row r="34" spans="1:9" ht="15" customHeight="1" thickTop="1" thickBot="1" x14ac:dyDescent="0.35">
      <c r="A34" s="212"/>
      <c r="B34" s="213"/>
      <c r="C34" s="215"/>
      <c r="D34" s="353"/>
      <c r="E34" s="65" t="str">
        <f>Runsheet!E22</f>
        <v>Nicola Morgan</v>
      </c>
      <c r="F34" s="65" t="str">
        <f>Runsheet!AU22</f>
        <v>GreenHoose</v>
      </c>
      <c r="G34" s="65" t="str">
        <f>Runsheet!AV22</f>
        <v>double</v>
      </c>
      <c r="H34" s="65">
        <f>Runsheet!AW22</f>
        <v>0</v>
      </c>
      <c r="I34" s="65">
        <f>Runsheet!AX22</f>
        <v>0</v>
      </c>
    </row>
    <row r="35" spans="1:9" ht="15" customHeight="1" thickTop="1" x14ac:dyDescent="0.3">
      <c r="A35" s="212"/>
      <c r="B35" s="318" t="s">
        <v>272</v>
      </c>
      <c r="C35" s="215"/>
      <c r="D35" s="353" t="str">
        <f>Runsheet!D23</f>
        <v>Party 4</v>
      </c>
      <c r="E35" s="65" t="str">
        <f>Runsheet!E23</f>
        <v>Joan Roberts</v>
      </c>
      <c r="F35" s="65" t="str">
        <f>Runsheet!AU23</f>
        <v>GreenHoose</v>
      </c>
      <c r="G35" s="65" t="str">
        <f>Runsheet!AV23</f>
        <v>double</v>
      </c>
      <c r="H35" s="65">
        <f>Runsheet!AW23</f>
        <v>0</v>
      </c>
      <c r="I35" s="65">
        <f>Runsheet!AX23</f>
        <v>0</v>
      </c>
    </row>
    <row r="36" spans="1:9" ht="15" thickBot="1" x14ac:dyDescent="0.35">
      <c r="A36" s="212"/>
      <c r="B36" s="319"/>
      <c r="C36" s="215"/>
      <c r="D36" s="353"/>
      <c r="E36" s="65" t="str">
        <f>Runsheet!E24</f>
        <v>Valerie Mead</v>
      </c>
      <c r="F36" s="65" t="str">
        <f>Runsheet!AU24</f>
        <v>GreenHoose</v>
      </c>
      <c r="G36" s="65" t="str">
        <f>Runsheet!AV24</f>
        <v>double</v>
      </c>
      <c r="H36" s="65">
        <f>Runsheet!AW24</f>
        <v>0</v>
      </c>
      <c r="I36" s="65">
        <f>Runsheet!AX24</f>
        <v>0</v>
      </c>
    </row>
    <row r="37" spans="1:9" ht="15" customHeight="1" thickTop="1" thickBot="1" x14ac:dyDescent="0.35">
      <c r="A37" s="212"/>
      <c r="B37" s="213"/>
      <c r="C37" s="215"/>
      <c r="D37" s="353" t="str">
        <f>Runsheet!D25</f>
        <v>Party 5</v>
      </c>
      <c r="E37" s="65" t="str">
        <f>Runsheet!E25</f>
        <v>Ann Berriman</v>
      </c>
      <c r="F37" s="65" t="str">
        <f>Runsheet!AU25</f>
        <v>GreenHoose</v>
      </c>
      <c r="G37" s="65" t="str">
        <f>Runsheet!AV25</f>
        <v>double</v>
      </c>
      <c r="H37" s="65">
        <f>Runsheet!AW25</f>
        <v>0</v>
      </c>
      <c r="I37" s="65">
        <f>Runsheet!AX25</f>
        <v>0</v>
      </c>
    </row>
    <row r="38" spans="1:9" ht="15" customHeight="1" thickTop="1" x14ac:dyDescent="0.3">
      <c r="A38" s="212"/>
      <c r="B38" s="318" t="s">
        <v>273</v>
      </c>
      <c r="C38" s="215"/>
      <c r="D38" s="353"/>
      <c r="E38" s="65" t="str">
        <f>Runsheet!E26</f>
        <v>Wanda Drost</v>
      </c>
      <c r="F38" s="65" t="str">
        <f>Runsheet!AU26</f>
        <v>GreenHoose</v>
      </c>
      <c r="G38" s="65" t="str">
        <f>Runsheet!AV26</f>
        <v>double</v>
      </c>
      <c r="H38" s="65">
        <f>Runsheet!AW26</f>
        <v>0</v>
      </c>
      <c r="I38" s="65">
        <f>Runsheet!AX26</f>
        <v>0</v>
      </c>
    </row>
    <row r="39" spans="1:9" ht="15" thickBot="1" x14ac:dyDescent="0.35">
      <c r="A39" s="212"/>
      <c r="B39" s="319"/>
      <c r="C39" s="215"/>
      <c r="D39" s="353" t="str">
        <f>Runsheet!D27</f>
        <v>Party 6</v>
      </c>
      <c r="E39" s="65" t="str">
        <f>Runsheet!E27</f>
        <v>Ian Neil</v>
      </c>
      <c r="F39" s="65">
        <f>Runsheet!AU27</f>
        <v>0</v>
      </c>
      <c r="G39" s="65">
        <f>Runsheet!AV27</f>
        <v>0</v>
      </c>
      <c r="H39" s="65">
        <f>Runsheet!AW27</f>
        <v>0</v>
      </c>
      <c r="I39" s="65">
        <f>Runsheet!AX27</f>
        <v>0</v>
      </c>
    </row>
    <row r="40" spans="1:9" ht="15" customHeight="1" thickTop="1" thickBot="1" x14ac:dyDescent="0.35">
      <c r="A40" s="212"/>
      <c r="B40" s="213"/>
      <c r="C40" s="215"/>
      <c r="D40" s="353"/>
      <c r="E40" s="65" t="str">
        <f>Runsheet!E28</f>
        <v>Graheme Fergueson</v>
      </c>
      <c r="F40" s="65">
        <f>Runsheet!AU28</f>
        <v>0</v>
      </c>
      <c r="G40" s="65">
        <f>Runsheet!AV28</f>
        <v>0</v>
      </c>
      <c r="H40" s="65">
        <f>Runsheet!AW28</f>
        <v>0</v>
      </c>
      <c r="I40" s="65">
        <f>Runsheet!AX28</f>
        <v>0</v>
      </c>
    </row>
    <row r="41" spans="1:9" ht="14.4" customHeight="1" thickTop="1" x14ac:dyDescent="0.3">
      <c r="A41" s="212"/>
      <c r="B41" s="318" t="s">
        <v>274</v>
      </c>
      <c r="C41" s="215"/>
      <c r="D41" s="353" t="str">
        <f>Runsheet!D29</f>
        <v>Party 7</v>
      </c>
      <c r="E41" s="65" t="str">
        <f>Runsheet!E29</f>
        <v>Raewyn Brookie</v>
      </c>
      <c r="F41" s="65" t="str">
        <f>Runsheet!AU29</f>
        <v>GreenHoose</v>
      </c>
      <c r="G41" s="65" t="str">
        <f>Runsheet!AV29</f>
        <v>double</v>
      </c>
      <c r="H41" s="65">
        <f>Runsheet!AW29</f>
        <v>0</v>
      </c>
      <c r="I41" s="65">
        <f>Runsheet!AX29</f>
        <v>0</v>
      </c>
    </row>
    <row r="42" spans="1:9" ht="15" customHeight="1" thickBot="1" x14ac:dyDescent="0.35">
      <c r="A42" s="212"/>
      <c r="B42" s="319"/>
      <c r="C42" s="215"/>
      <c r="D42" s="353"/>
      <c r="E42" s="65" t="e">
        <f>Runsheet!E30</f>
        <v>#N/A</v>
      </c>
      <c r="F42" s="65">
        <f>Runsheet!AU30</f>
        <v>0</v>
      </c>
      <c r="G42" s="65">
        <f>Runsheet!AV30</f>
        <v>0</v>
      </c>
      <c r="H42" s="65">
        <f>Runsheet!AW30</f>
        <v>0</v>
      </c>
      <c r="I42" s="65">
        <f>Runsheet!AX30</f>
        <v>0</v>
      </c>
    </row>
    <row r="43" spans="1:9" ht="16.8" thickTop="1" thickBot="1" x14ac:dyDescent="0.35">
      <c r="A43" s="212"/>
      <c r="B43" s="213"/>
      <c r="C43" s="215"/>
      <c r="D43" s="325" t="str">
        <f>Runsheet!D36</f>
        <v>Dinning Arrangements</v>
      </c>
      <c r="E43" s="326"/>
      <c r="F43" s="326"/>
      <c r="G43" s="326"/>
      <c r="H43" s="326"/>
      <c r="I43" s="327"/>
    </row>
    <row r="44" spans="1:9" ht="15" customHeight="1" thickTop="1" x14ac:dyDescent="0.3">
      <c r="A44" s="212"/>
      <c r="B44" s="318" t="s">
        <v>275</v>
      </c>
      <c r="C44" s="215"/>
      <c r="D44" s="19"/>
      <c r="E44" s="4"/>
      <c r="F44" s="4"/>
      <c r="G44" s="4"/>
      <c r="H44" s="4"/>
      <c r="I44" s="21"/>
    </row>
    <row r="45" spans="1:9" ht="15" customHeight="1" thickBot="1" x14ac:dyDescent="0.35">
      <c r="A45" s="212"/>
      <c r="B45" s="319"/>
      <c r="C45" s="215"/>
      <c r="D45" s="328" t="str">
        <f>Runsheet!D37</f>
        <v xml:space="preserve">Breakfast </v>
      </c>
      <c r="E45" s="329" t="str">
        <f>Runsheet!AS37</f>
        <v>Continental Breakfast at Wildwishes</v>
      </c>
      <c r="F45" s="330"/>
      <c r="G45" s="330"/>
      <c r="H45" s="330"/>
      <c r="I45" s="331"/>
    </row>
    <row r="46" spans="1:9" ht="16.8" thickTop="1" thickBot="1" x14ac:dyDescent="0.35">
      <c r="A46" s="212"/>
      <c r="B46" s="213"/>
      <c r="C46" s="215"/>
      <c r="D46" s="328"/>
      <c r="E46" s="332"/>
      <c r="F46" s="333"/>
      <c r="G46" s="333"/>
      <c r="H46" s="333"/>
      <c r="I46" s="334"/>
    </row>
    <row r="47" spans="1:9" ht="57.6" customHeight="1" thickTop="1" x14ac:dyDescent="0.3">
      <c r="A47" s="212"/>
      <c r="B47" s="318" t="s">
        <v>276</v>
      </c>
      <c r="C47" s="215"/>
      <c r="D47" s="328" t="str">
        <f>Runsheet!D39</f>
        <v xml:space="preserve">Lunch </v>
      </c>
      <c r="E47" s="329" t="str">
        <f>Runsheet!AS39</f>
        <v>Chicken Paninis - toasted on the Rd</v>
      </c>
      <c r="F47" s="330"/>
      <c r="G47" s="330"/>
      <c r="H47" s="330"/>
      <c r="I47" s="331"/>
    </row>
    <row r="48" spans="1:9" ht="15" customHeight="1" thickBot="1" x14ac:dyDescent="0.35">
      <c r="A48" s="212"/>
      <c r="B48" s="319"/>
      <c r="C48" s="215"/>
      <c r="D48" s="328"/>
      <c r="E48" s="332"/>
      <c r="F48" s="333"/>
      <c r="G48" s="333"/>
      <c r="H48" s="333"/>
      <c r="I48" s="334"/>
    </row>
    <row r="49" spans="1:9" ht="28.8" customHeight="1" thickTop="1" thickBot="1" x14ac:dyDescent="0.35">
      <c r="A49" s="212"/>
      <c r="B49" s="213"/>
      <c r="C49" s="215"/>
      <c r="D49" s="328" t="str">
        <f>Runsheet!D41</f>
        <v xml:space="preserve">Dinner </v>
      </c>
      <c r="E49" s="329" t="str">
        <f>Runsheet!AS41</f>
        <v>Cooked Dinner at Greenhoose</v>
      </c>
      <c r="F49" s="330"/>
      <c r="G49" s="330"/>
      <c r="H49" s="330"/>
      <c r="I49" s="331"/>
    </row>
    <row r="50" spans="1:9" ht="15" customHeight="1" thickTop="1" x14ac:dyDescent="0.3">
      <c r="A50" s="212"/>
      <c r="B50" s="318" t="s">
        <v>277</v>
      </c>
      <c r="C50" s="215"/>
      <c r="D50" s="328"/>
      <c r="E50" s="332"/>
      <c r="F50" s="333"/>
      <c r="G50" s="333"/>
      <c r="H50" s="333"/>
      <c r="I50" s="334"/>
    </row>
    <row r="51" spans="1:9" ht="15" customHeight="1" thickBot="1" x14ac:dyDescent="0.35">
      <c r="A51" s="212"/>
      <c r="B51" s="319"/>
      <c r="C51" s="215"/>
      <c r="D51" s="134"/>
      <c r="E51" s="142"/>
      <c r="F51" s="142"/>
      <c r="G51" s="142"/>
      <c r="H51" s="142"/>
      <c r="I51" s="143"/>
    </row>
    <row r="52" spans="1:9" ht="16.2" thickTop="1" x14ac:dyDescent="0.3">
      <c r="A52" s="212"/>
      <c r="B52" s="213"/>
      <c r="C52" s="215"/>
      <c r="D52" s="325" t="s">
        <v>210</v>
      </c>
      <c r="E52" s="326"/>
      <c r="F52" s="326"/>
      <c r="G52" s="326"/>
      <c r="H52" s="326"/>
      <c r="I52" s="327"/>
    </row>
    <row r="53" spans="1:9" ht="15" customHeight="1" x14ac:dyDescent="0.3">
      <c r="A53" s="212"/>
      <c r="B53" s="213"/>
      <c r="C53" s="215"/>
      <c r="D53" s="360" t="str">
        <f>Runsheet!AR44</f>
        <v xml:space="preserve">Claudie Waterfall/Chilli Beach/ Lockhart Art Centre / FNE guided night walk </v>
      </c>
      <c r="E53" s="360"/>
      <c r="F53" s="360"/>
      <c r="G53" s="360"/>
      <c r="H53" s="360"/>
      <c r="I53" s="360"/>
    </row>
    <row r="54" spans="1:9" ht="15" customHeight="1" x14ac:dyDescent="0.3">
      <c r="A54" s="212"/>
      <c r="B54" s="231"/>
      <c r="C54" s="215"/>
      <c r="D54" s="360"/>
      <c r="E54" s="360"/>
      <c r="F54" s="360"/>
      <c r="G54" s="360"/>
      <c r="H54" s="360"/>
      <c r="I54" s="360"/>
    </row>
    <row r="55" spans="1:9" x14ac:dyDescent="0.3">
      <c r="A55" s="212"/>
      <c r="B55" s="231"/>
      <c r="C55" s="215"/>
      <c r="D55" s="360">
        <f>Runsheet!AR45</f>
        <v>0</v>
      </c>
      <c r="E55" s="360"/>
      <c r="F55" s="360"/>
      <c r="G55" s="360"/>
      <c r="H55" s="360"/>
      <c r="I55" s="360"/>
    </row>
    <row r="56" spans="1:9" x14ac:dyDescent="0.3">
      <c r="A56" s="212"/>
      <c r="B56" s="213"/>
      <c r="C56" s="215"/>
      <c r="D56" s="360"/>
      <c r="E56" s="360"/>
      <c r="F56" s="360"/>
      <c r="G56" s="360"/>
      <c r="H56" s="360"/>
      <c r="I56" s="360"/>
    </row>
    <row r="57" spans="1:9" x14ac:dyDescent="0.3">
      <c r="A57" s="212"/>
      <c r="B57" s="213"/>
      <c r="C57" s="215"/>
      <c r="D57" s="325" t="s">
        <v>361</v>
      </c>
      <c r="E57" s="326"/>
      <c r="F57" s="326"/>
      <c r="G57" s="326"/>
      <c r="H57" s="326"/>
      <c r="I57" s="327"/>
    </row>
    <row r="58" spans="1:9" x14ac:dyDescent="0.3">
      <c r="A58" s="212"/>
      <c r="B58" s="213"/>
      <c r="C58" s="215"/>
      <c r="D58" s="232"/>
      <c r="E58" s="138" t="str" cm="1">
        <f t="array" ref="E58:H58">day_6_itinerary_highlights[]</f>
        <v>Piccaninny Plains</v>
      </c>
      <c r="F58" s="138">
        <v>0</v>
      </c>
      <c r="G58" s="138">
        <v>0</v>
      </c>
      <c r="H58" s="138">
        <v>0</v>
      </c>
      <c r="I58" s="233"/>
    </row>
    <row r="59" spans="1:9" x14ac:dyDescent="0.3">
      <c r="A59" s="212"/>
      <c r="B59" s="213"/>
      <c r="C59" s="215"/>
      <c r="D59" s="234"/>
      <c r="E59" s="235"/>
      <c r="F59" s="235"/>
      <c r="G59" s="235"/>
      <c r="H59" s="235"/>
      <c r="I59" s="236"/>
    </row>
    <row r="60" spans="1:9" x14ac:dyDescent="0.3">
      <c r="A60" s="212"/>
      <c r="B60" s="213"/>
      <c r="C60" s="215"/>
      <c r="D60" s="234"/>
      <c r="E60" s="235"/>
      <c r="F60" s="235"/>
      <c r="G60" s="235"/>
      <c r="H60" s="235"/>
      <c r="I60" s="236"/>
    </row>
    <row r="61" spans="1:9" x14ac:dyDescent="0.3">
      <c r="A61" s="212"/>
      <c r="B61" s="213"/>
      <c r="C61" s="215"/>
      <c r="D61" s="325" t="s">
        <v>209</v>
      </c>
      <c r="E61" s="326"/>
      <c r="F61" s="326"/>
      <c r="G61" s="326"/>
      <c r="H61" s="326"/>
      <c r="I61" s="327"/>
    </row>
    <row r="62" spans="1:9" x14ac:dyDescent="0.3">
      <c r="A62" s="212"/>
      <c r="B62" s="213"/>
      <c r="C62" s="215"/>
      <c r="D62" s="359" t="s">
        <v>97</v>
      </c>
      <c r="E62" s="33" t="s">
        <v>11</v>
      </c>
      <c r="F62" s="39" t="str">
        <f>'Rest Runsheet Food'!P10</f>
        <v>Bacon, Eggs &amp; Sausages</v>
      </c>
      <c r="G62" s="39">
        <f>'Rest Runsheet Food'!Q10</f>
        <v>11</v>
      </c>
      <c r="H62" s="4"/>
      <c r="I62" s="21"/>
    </row>
    <row r="63" spans="1:9" x14ac:dyDescent="0.3">
      <c r="A63" s="212"/>
      <c r="B63" s="213"/>
      <c r="C63" s="215"/>
      <c r="D63" s="339"/>
      <c r="E63" s="30" t="s">
        <v>9</v>
      </c>
      <c r="F63" s="39" t="str">
        <f>'Rest Runsheet Food'!P11</f>
        <v>Beef Wraps</v>
      </c>
      <c r="G63" s="39">
        <f>'Rest Runsheet Food'!Q11</f>
        <v>11</v>
      </c>
      <c r="H63" s="4"/>
      <c r="I63" s="21"/>
    </row>
    <row r="64" spans="1:9" x14ac:dyDescent="0.3">
      <c r="A64" s="212"/>
      <c r="B64" s="213"/>
      <c r="C64" s="215"/>
      <c r="D64" s="340"/>
      <c r="E64" s="34" t="s">
        <v>1</v>
      </c>
      <c r="F64" s="39" t="str">
        <f>'Rest Runsheet Food'!P12</f>
        <v>Beef &amp; soba noodles</v>
      </c>
      <c r="G64" s="39">
        <f>'Rest Runsheet Food'!Q12</f>
        <v>11</v>
      </c>
      <c r="H64" s="4"/>
      <c r="I64" s="21"/>
    </row>
    <row r="65" spans="1:9" x14ac:dyDescent="0.3">
      <c r="A65" s="212"/>
      <c r="B65" s="213"/>
      <c r="C65" s="215"/>
      <c r="D65" s="19"/>
      <c r="E65" s="4"/>
      <c r="F65" s="4"/>
      <c r="G65" s="4"/>
      <c r="H65" s="4"/>
      <c r="I65" s="21"/>
    </row>
    <row r="66" spans="1:9" x14ac:dyDescent="0.3">
      <c r="A66" s="212"/>
      <c r="B66" s="213"/>
      <c r="C66" s="215"/>
      <c r="D66" s="19"/>
      <c r="E66" s="4"/>
      <c r="F66" s="141" t="s">
        <v>76</v>
      </c>
      <c r="G66" s="38" t="s">
        <v>77</v>
      </c>
      <c r="H66" s="4"/>
      <c r="I66" s="21"/>
    </row>
    <row r="67" spans="1:9" x14ac:dyDescent="0.3">
      <c r="A67" s="212"/>
      <c r="B67" s="213"/>
      <c r="C67" s="215"/>
      <c r="D67" s="341" t="s">
        <v>120</v>
      </c>
      <c r="E67" s="33" t="s">
        <v>11</v>
      </c>
      <c r="F67" s="39" t="str">
        <f>'Rest Runsheet Food'!P20</f>
        <v>Bacon, Eggs &amp; Sausages</v>
      </c>
      <c r="G67" s="39">
        <f>'Rest Runsheet Food'!Q20</f>
        <v>1</v>
      </c>
      <c r="H67" s="4"/>
      <c r="I67" s="21"/>
    </row>
    <row r="68" spans="1:9" x14ac:dyDescent="0.3">
      <c r="A68" s="212"/>
      <c r="B68" s="213"/>
      <c r="C68" s="215"/>
      <c r="D68" s="342"/>
      <c r="E68" s="30" t="s">
        <v>9</v>
      </c>
      <c r="F68" s="39" t="str">
        <f>'Rest Runsheet Food'!P21</f>
        <v>Beef Wraps</v>
      </c>
      <c r="G68" s="39">
        <f>'Rest Runsheet Food'!Q21</f>
        <v>1</v>
      </c>
      <c r="H68" s="4"/>
      <c r="I68" s="21"/>
    </row>
    <row r="69" spans="1:9" x14ac:dyDescent="0.3">
      <c r="A69" s="212"/>
      <c r="B69" s="213"/>
      <c r="C69" s="215"/>
      <c r="D69" s="343"/>
      <c r="E69" s="34" t="s">
        <v>1</v>
      </c>
      <c r="F69" s="39" t="str">
        <f>'Rest Runsheet Food'!P22</f>
        <v>Beef &amp; soba noodles</v>
      </c>
      <c r="G69" s="39">
        <f>'Rest Runsheet Food'!Q22</f>
        <v>1</v>
      </c>
      <c r="H69" s="4"/>
      <c r="I69" s="21"/>
    </row>
    <row r="70" spans="1:9" x14ac:dyDescent="0.3">
      <c r="A70" s="212"/>
      <c r="B70" s="213"/>
      <c r="C70" s="215"/>
      <c r="D70" s="19"/>
      <c r="E70" s="4"/>
      <c r="F70" s="4"/>
      <c r="G70" s="4"/>
      <c r="H70" s="4"/>
      <c r="I70" s="21"/>
    </row>
    <row r="71" spans="1:9" x14ac:dyDescent="0.3">
      <c r="A71" s="212"/>
      <c r="B71" s="213"/>
      <c r="C71" s="215"/>
      <c r="D71" s="19"/>
      <c r="E71" s="4"/>
      <c r="F71" s="141" t="s">
        <v>76</v>
      </c>
      <c r="G71" s="38" t="s">
        <v>77</v>
      </c>
      <c r="H71" s="4"/>
      <c r="I71" s="21"/>
    </row>
    <row r="72" spans="1:9" x14ac:dyDescent="0.3">
      <c r="A72" s="212"/>
      <c r="B72" s="213"/>
      <c r="C72" s="215"/>
      <c r="D72" s="344" t="s">
        <v>123</v>
      </c>
      <c r="E72" s="33" t="s">
        <v>11</v>
      </c>
      <c r="F72" s="39" t="str">
        <f>'Rest Runsheet Food'!P29</f>
        <v>Bacon, Eggs &amp; Sausages</v>
      </c>
      <c r="G72" s="39">
        <f>'Rest Runsheet Food'!Q29</f>
        <v>0</v>
      </c>
      <c r="H72" s="4"/>
      <c r="I72" s="21"/>
    </row>
    <row r="73" spans="1:9" x14ac:dyDescent="0.3">
      <c r="C73" s="218"/>
      <c r="D73" s="345"/>
      <c r="E73" s="30" t="s">
        <v>9</v>
      </c>
      <c r="F73" s="39" t="str">
        <f>'Rest Runsheet Food'!P30</f>
        <v>Beef Wraps</v>
      </c>
      <c r="G73" s="39">
        <f>'Rest Runsheet Food'!Q30</f>
        <v>0</v>
      </c>
      <c r="H73" s="4"/>
      <c r="I73" s="21"/>
    </row>
    <row r="74" spans="1:9" x14ac:dyDescent="0.3">
      <c r="C74" s="218"/>
      <c r="D74" s="346"/>
      <c r="E74" s="34" t="s">
        <v>1</v>
      </c>
      <c r="F74" s="39" t="str">
        <f>'Rest Runsheet Food'!P31</f>
        <v>Beef &amp; soba noodles</v>
      </c>
      <c r="G74" s="39">
        <f>'Rest Runsheet Food'!Q31</f>
        <v>0</v>
      </c>
      <c r="H74" s="4"/>
      <c r="I74" s="21"/>
    </row>
    <row r="75" spans="1:9" x14ac:dyDescent="0.3">
      <c r="C75" s="218"/>
      <c r="D75" s="19"/>
      <c r="E75" s="4"/>
      <c r="F75" s="4"/>
      <c r="G75" s="4"/>
      <c r="H75" s="4"/>
      <c r="I75" s="21"/>
    </row>
    <row r="76" spans="1:9" x14ac:dyDescent="0.3">
      <c r="C76" s="218"/>
      <c r="D76" s="19"/>
      <c r="E76" s="4"/>
      <c r="F76" s="141" t="s">
        <v>76</v>
      </c>
      <c r="G76" s="38" t="s">
        <v>77</v>
      </c>
      <c r="H76" s="4"/>
      <c r="I76" s="21"/>
    </row>
    <row r="77" spans="1:9" x14ac:dyDescent="0.3">
      <c r="C77" s="218"/>
      <c r="D77" s="349" t="s">
        <v>126</v>
      </c>
      <c r="E77" s="33" t="s">
        <v>11</v>
      </c>
      <c r="F77" s="39" t="str">
        <f>'Rest Runsheet Food'!P38</f>
        <v>Bacon, Eggs &amp; Sausages</v>
      </c>
      <c r="G77" s="39">
        <f>'Rest Runsheet Food'!Q38</f>
        <v>0</v>
      </c>
      <c r="H77" s="4"/>
      <c r="I77" s="21"/>
    </row>
    <row r="78" spans="1:9" ht="19.8" customHeight="1" x14ac:dyDescent="0.3">
      <c r="C78" s="218"/>
      <c r="D78" s="350"/>
      <c r="E78" s="30" t="s">
        <v>9</v>
      </c>
      <c r="F78" s="39" t="str">
        <f>'Rest Runsheet Food'!P39</f>
        <v>Beef Wraps</v>
      </c>
      <c r="G78" s="39">
        <f>'Rest Runsheet Food'!Q39</f>
        <v>0</v>
      </c>
      <c r="H78" s="4"/>
      <c r="I78" s="21"/>
    </row>
    <row r="79" spans="1:9" x14ac:dyDescent="0.3">
      <c r="C79" s="218"/>
      <c r="D79" s="357"/>
      <c r="E79" s="34" t="s">
        <v>1</v>
      </c>
      <c r="F79" s="39" t="str">
        <f>'Rest Runsheet Food'!P40</f>
        <v>Beef &amp; soba noodles</v>
      </c>
      <c r="G79" s="39">
        <f>'Rest Runsheet Food'!Q40</f>
        <v>0</v>
      </c>
      <c r="H79" s="4"/>
      <c r="I79" s="21"/>
    </row>
    <row r="80" spans="1:9" x14ac:dyDescent="0.3">
      <c r="C80" s="218"/>
      <c r="D80" s="141"/>
      <c r="E80" s="30"/>
      <c r="F80" s="4"/>
      <c r="G80" s="4"/>
      <c r="H80" s="4"/>
      <c r="I80" s="21"/>
    </row>
    <row r="81" spans="3:9" x14ac:dyDescent="0.3">
      <c r="C81" s="218"/>
      <c r="D81" s="19"/>
      <c r="E81" s="4"/>
      <c r="F81" s="141" t="s">
        <v>76</v>
      </c>
      <c r="G81" s="38" t="s">
        <v>77</v>
      </c>
      <c r="H81" s="4"/>
      <c r="I81" s="21"/>
    </row>
    <row r="82" spans="3:9" x14ac:dyDescent="0.3">
      <c r="C82" s="218"/>
      <c r="D82" s="358" t="s">
        <v>128</v>
      </c>
      <c r="E82" s="33" t="s">
        <v>11</v>
      </c>
      <c r="F82" s="39" t="str">
        <f>'Rest Runsheet Food'!P47</f>
        <v>Bacon, Eggs &amp; Sausages</v>
      </c>
      <c r="G82" s="39">
        <f>'Rest Runsheet Food'!Q47</f>
        <v>0</v>
      </c>
      <c r="H82" s="4"/>
      <c r="I82" s="21"/>
    </row>
    <row r="83" spans="3:9" x14ac:dyDescent="0.3">
      <c r="C83" s="218"/>
      <c r="D83" s="347"/>
      <c r="E83" s="30" t="s">
        <v>9</v>
      </c>
      <c r="F83" s="39" t="str">
        <f>'Rest Runsheet Food'!P48</f>
        <v>Beef Wraps</v>
      </c>
      <c r="G83" s="39">
        <f>'Rest Runsheet Food'!Q48</f>
        <v>0</v>
      </c>
      <c r="H83" s="4"/>
      <c r="I83" s="21"/>
    </row>
    <row r="84" spans="3:9" x14ac:dyDescent="0.3">
      <c r="C84" s="218"/>
      <c r="D84" s="348"/>
      <c r="E84" s="34" t="s">
        <v>1</v>
      </c>
      <c r="F84" s="39" t="str">
        <f>'Rest Runsheet Food'!P49</f>
        <v>Beef &amp; soba noodles</v>
      </c>
      <c r="G84" s="39">
        <f>'Rest Runsheet Food'!Q49</f>
        <v>0</v>
      </c>
      <c r="H84" s="4"/>
      <c r="I84" s="21"/>
    </row>
    <row r="85" spans="3:9" x14ac:dyDescent="0.3">
      <c r="C85" s="218"/>
      <c r="D85" s="141"/>
      <c r="E85" s="30"/>
      <c r="F85" s="4"/>
      <c r="G85" s="4"/>
      <c r="H85" s="4"/>
      <c r="I85" s="21"/>
    </row>
    <row r="86" spans="3:9" x14ac:dyDescent="0.3">
      <c r="C86" s="218"/>
      <c r="D86" s="19"/>
      <c r="E86" s="4"/>
      <c r="F86" s="141" t="s">
        <v>76</v>
      </c>
      <c r="G86" s="38" t="s">
        <v>77</v>
      </c>
      <c r="H86" s="4"/>
      <c r="I86" s="21"/>
    </row>
    <row r="87" spans="3:9" x14ac:dyDescent="0.3">
      <c r="C87" s="218"/>
      <c r="D87" s="335" t="s">
        <v>135</v>
      </c>
      <c r="E87" s="33" t="s">
        <v>11</v>
      </c>
      <c r="F87" s="39" t="str">
        <f>'Rest Runsheet Food'!P57</f>
        <v>Bacon, Eggs &amp; Sausages</v>
      </c>
      <c r="G87" s="39">
        <f>'Rest Runsheet Food'!Q57</f>
        <v>0</v>
      </c>
      <c r="H87" s="4"/>
      <c r="I87" s="21"/>
    </row>
    <row r="88" spans="3:9" x14ac:dyDescent="0.3">
      <c r="C88" s="218"/>
      <c r="D88" s="336"/>
      <c r="E88" s="30" t="s">
        <v>9</v>
      </c>
      <c r="F88" s="39" t="str">
        <f>'Rest Runsheet Food'!P58</f>
        <v>Beef Wraps</v>
      </c>
      <c r="G88" s="39">
        <f>'Rest Runsheet Food'!Q58</f>
        <v>0</v>
      </c>
      <c r="H88" s="4"/>
      <c r="I88" s="21"/>
    </row>
    <row r="89" spans="3:9" x14ac:dyDescent="0.3">
      <c r="C89" s="218"/>
      <c r="D89" s="337"/>
      <c r="E89" s="34" t="s">
        <v>1</v>
      </c>
      <c r="F89" s="39" t="str">
        <f>'Rest Runsheet Food'!P59</f>
        <v>Beef &amp; soba noodles</v>
      </c>
      <c r="G89" s="39">
        <f>'Rest Runsheet Food'!Q59</f>
        <v>0</v>
      </c>
      <c r="H89" s="4"/>
      <c r="I89" s="21"/>
    </row>
    <row r="90" spans="3:9" x14ac:dyDescent="0.3">
      <c r="C90" s="218"/>
      <c r="D90" s="19"/>
      <c r="E90" s="4"/>
      <c r="F90" s="4"/>
      <c r="G90" s="4"/>
      <c r="H90" s="4"/>
      <c r="I90" s="21"/>
    </row>
    <row r="91" spans="3:9" ht="16.2" thickBot="1" x14ac:dyDescent="0.35">
      <c r="C91" s="218"/>
      <c r="D91" s="133"/>
      <c r="E91" s="22"/>
      <c r="F91" s="22"/>
      <c r="G91" s="22"/>
      <c r="H91" s="22"/>
      <c r="I91" s="23"/>
    </row>
    <row r="92" spans="3:9" x14ac:dyDescent="0.3">
      <c r="C92" s="218"/>
    </row>
    <row r="93" spans="3:9" x14ac:dyDescent="0.3">
      <c r="C93" s="218"/>
    </row>
    <row r="94" spans="3:9" x14ac:dyDescent="0.3">
      <c r="C94" s="218"/>
    </row>
    <row r="95" spans="3:9" x14ac:dyDescent="0.3">
      <c r="C95" s="218"/>
    </row>
    <row r="96" spans="3:9" x14ac:dyDescent="0.3">
      <c r="C96" s="218"/>
    </row>
    <row r="97" spans="3:3" x14ac:dyDescent="0.3">
      <c r="C97" s="218"/>
    </row>
    <row r="98" spans="3:3" x14ac:dyDescent="0.3">
      <c r="C98" s="218"/>
    </row>
    <row r="99" spans="3:3" x14ac:dyDescent="0.3">
      <c r="C99" s="218"/>
    </row>
    <row r="100" spans="3:3" x14ac:dyDescent="0.3">
      <c r="C100" s="218"/>
    </row>
    <row r="101" spans="3:3" x14ac:dyDescent="0.3">
      <c r="C101" s="218"/>
    </row>
    <row r="102" spans="3:3" x14ac:dyDescent="0.3">
      <c r="C102" s="218"/>
    </row>
    <row r="103" spans="3:3" x14ac:dyDescent="0.3">
      <c r="C103" s="218"/>
    </row>
    <row r="104" spans="3:3" x14ac:dyDescent="0.3">
      <c r="C104" s="218"/>
    </row>
    <row r="105" spans="3:3" x14ac:dyDescent="0.3">
      <c r="C105" s="218"/>
    </row>
    <row r="106" spans="3:3" x14ac:dyDescent="0.3">
      <c r="C106" s="218"/>
    </row>
    <row r="107" spans="3:3" x14ac:dyDescent="0.3">
      <c r="C107" s="218"/>
    </row>
    <row r="108" spans="3:3" x14ac:dyDescent="0.3">
      <c r="C108" s="218"/>
    </row>
    <row r="109" spans="3:3" x14ac:dyDescent="0.3">
      <c r="C109" s="218"/>
    </row>
    <row r="110" spans="3:3" x14ac:dyDescent="0.3">
      <c r="C110" s="218"/>
    </row>
    <row r="111" spans="3:3" x14ac:dyDescent="0.3">
      <c r="C111" s="218"/>
    </row>
    <row r="112" spans="3:3" x14ac:dyDescent="0.3">
      <c r="C112" s="218"/>
    </row>
    <row r="113" spans="3:3" x14ac:dyDescent="0.3">
      <c r="C113" s="218"/>
    </row>
    <row r="114" spans="3:3" x14ac:dyDescent="0.3">
      <c r="C114" s="218"/>
    </row>
    <row r="115" spans="3:3" x14ac:dyDescent="0.3">
      <c r="C115" s="218"/>
    </row>
    <row r="116" spans="3:3" x14ac:dyDescent="0.3">
      <c r="C116" s="218"/>
    </row>
    <row r="117" spans="3:3" x14ac:dyDescent="0.3">
      <c r="C117" s="218"/>
    </row>
    <row r="118" spans="3:3" x14ac:dyDescent="0.3">
      <c r="C118" s="218"/>
    </row>
    <row r="119" spans="3:3" x14ac:dyDescent="0.3">
      <c r="C119" s="218"/>
    </row>
    <row r="120" spans="3:3" x14ac:dyDescent="0.3">
      <c r="C120" s="218"/>
    </row>
    <row r="121" spans="3:3" x14ac:dyDescent="0.3">
      <c r="C121" s="218"/>
    </row>
    <row r="122" spans="3:3" x14ac:dyDescent="0.3">
      <c r="C122" s="218"/>
    </row>
    <row r="123" spans="3:3" x14ac:dyDescent="0.3">
      <c r="C123" s="218"/>
    </row>
    <row r="124" spans="3:3" x14ac:dyDescent="0.3">
      <c r="C124" s="218"/>
    </row>
    <row r="125" spans="3:3" x14ac:dyDescent="0.3">
      <c r="C125" s="218"/>
    </row>
    <row r="126" spans="3:3" x14ac:dyDescent="0.3">
      <c r="C126" s="218"/>
    </row>
    <row r="127" spans="3:3" x14ac:dyDescent="0.3">
      <c r="C127" s="218"/>
    </row>
    <row r="128" spans="3:3" x14ac:dyDescent="0.3">
      <c r="C128" s="218"/>
    </row>
    <row r="129" spans="3:3" x14ac:dyDescent="0.3">
      <c r="C129" s="218"/>
    </row>
    <row r="130" spans="3:3" x14ac:dyDescent="0.3">
      <c r="C130" s="218"/>
    </row>
    <row r="131" spans="3:3" x14ac:dyDescent="0.3">
      <c r="C131" s="218"/>
    </row>
    <row r="132" spans="3:3" x14ac:dyDescent="0.3">
      <c r="C132" s="218"/>
    </row>
    <row r="133" spans="3:3" x14ac:dyDescent="0.3">
      <c r="C133" s="218"/>
    </row>
    <row r="134" spans="3:3" x14ac:dyDescent="0.3">
      <c r="C134" s="218"/>
    </row>
    <row r="135" spans="3:3" x14ac:dyDescent="0.3">
      <c r="C135" s="218"/>
    </row>
    <row r="136" spans="3:3" x14ac:dyDescent="0.3">
      <c r="C136" s="218"/>
    </row>
    <row r="137" spans="3:3" x14ac:dyDescent="0.3">
      <c r="C137" s="218"/>
    </row>
    <row r="138" spans="3:3" x14ac:dyDescent="0.3">
      <c r="C138" s="218"/>
    </row>
    <row r="139" spans="3:3" x14ac:dyDescent="0.3">
      <c r="C139" s="218"/>
    </row>
    <row r="140" spans="3:3" x14ac:dyDescent="0.3">
      <c r="C140" s="218"/>
    </row>
    <row r="141" spans="3:3" x14ac:dyDescent="0.3">
      <c r="C141" s="218"/>
    </row>
    <row r="142" spans="3:3" x14ac:dyDescent="0.3">
      <c r="C142" s="218"/>
    </row>
    <row r="143" spans="3:3" x14ac:dyDescent="0.3">
      <c r="C143" s="218"/>
    </row>
    <row r="144" spans="3:3" x14ac:dyDescent="0.3">
      <c r="C144" s="218"/>
    </row>
    <row r="145" spans="3:3" x14ac:dyDescent="0.3">
      <c r="C145" s="218"/>
    </row>
    <row r="146" spans="3:3" x14ac:dyDescent="0.3">
      <c r="C146" s="218"/>
    </row>
    <row r="147" spans="3:3" x14ac:dyDescent="0.3">
      <c r="C147" s="218"/>
    </row>
    <row r="148" spans="3:3" x14ac:dyDescent="0.3">
      <c r="C148" s="218"/>
    </row>
    <row r="149" spans="3:3" x14ac:dyDescent="0.3">
      <c r="C149" s="218"/>
    </row>
    <row r="150" spans="3:3" x14ac:dyDescent="0.3">
      <c r="C150" s="218"/>
    </row>
    <row r="151" spans="3:3" x14ac:dyDescent="0.3">
      <c r="C151" s="218"/>
    </row>
    <row r="152" spans="3:3" x14ac:dyDescent="0.3">
      <c r="C152" s="218"/>
    </row>
    <row r="153" spans="3:3" x14ac:dyDescent="0.3">
      <c r="C153" s="218"/>
    </row>
    <row r="154" spans="3:3" x14ac:dyDescent="0.3">
      <c r="C154" s="218"/>
    </row>
    <row r="155" spans="3:3" x14ac:dyDescent="0.3">
      <c r="C155" s="218"/>
    </row>
    <row r="156" spans="3:3" x14ac:dyDescent="0.3">
      <c r="C156" s="218"/>
    </row>
    <row r="157" spans="3:3" x14ac:dyDescent="0.3">
      <c r="C157" s="218"/>
    </row>
    <row r="158" spans="3:3" x14ac:dyDescent="0.3">
      <c r="C158" s="218"/>
    </row>
    <row r="159" spans="3:3" x14ac:dyDescent="0.3">
      <c r="C159" s="218"/>
    </row>
    <row r="160" spans="3:3" x14ac:dyDescent="0.3">
      <c r="C160" s="218"/>
    </row>
    <row r="161" spans="3:3" x14ac:dyDescent="0.3">
      <c r="C161" s="218"/>
    </row>
    <row r="162" spans="3:3" x14ac:dyDescent="0.3">
      <c r="C162" s="218"/>
    </row>
    <row r="163" spans="3:3" x14ac:dyDescent="0.3">
      <c r="C163" s="218"/>
    </row>
    <row r="164" spans="3:3" x14ac:dyDescent="0.3">
      <c r="C164" s="218"/>
    </row>
    <row r="165" spans="3:3" x14ac:dyDescent="0.3">
      <c r="C165" s="218"/>
    </row>
    <row r="166" spans="3:3" x14ac:dyDescent="0.3">
      <c r="C166" s="218"/>
    </row>
    <row r="167" spans="3:3" x14ac:dyDescent="0.3">
      <c r="C167" s="218"/>
    </row>
    <row r="168" spans="3:3" x14ac:dyDescent="0.3">
      <c r="C168" s="218"/>
    </row>
    <row r="169" spans="3:3" x14ac:dyDescent="0.3">
      <c r="C169" s="218"/>
    </row>
    <row r="170" spans="3:3" x14ac:dyDescent="0.3">
      <c r="C170" s="218"/>
    </row>
    <row r="171" spans="3:3" x14ac:dyDescent="0.3">
      <c r="C171" s="218"/>
    </row>
    <row r="172" spans="3:3" x14ac:dyDescent="0.3">
      <c r="C172" s="218"/>
    </row>
    <row r="173" spans="3:3" x14ac:dyDescent="0.3">
      <c r="C173" s="218"/>
    </row>
    <row r="174" spans="3:3" x14ac:dyDescent="0.3">
      <c r="C174" s="218"/>
    </row>
    <row r="175" spans="3:3" x14ac:dyDescent="0.3">
      <c r="C175" s="218"/>
    </row>
    <row r="176" spans="3:3" x14ac:dyDescent="0.3">
      <c r="C176" s="218"/>
    </row>
    <row r="177" spans="3:3" x14ac:dyDescent="0.3">
      <c r="C177" s="218"/>
    </row>
    <row r="178" spans="3:3" x14ac:dyDescent="0.3">
      <c r="C178" s="218"/>
    </row>
    <row r="179" spans="3:3" x14ac:dyDescent="0.3">
      <c r="C179" s="218"/>
    </row>
    <row r="180" spans="3:3" x14ac:dyDescent="0.3">
      <c r="C180" s="218"/>
    </row>
    <row r="181" spans="3:3" x14ac:dyDescent="0.3">
      <c r="C181" s="218"/>
    </row>
    <row r="182" spans="3:3" x14ac:dyDescent="0.3">
      <c r="C182" s="218"/>
    </row>
    <row r="183" spans="3:3" x14ac:dyDescent="0.3">
      <c r="C183" s="218"/>
    </row>
    <row r="184" spans="3:3" x14ac:dyDescent="0.3">
      <c r="C184" s="218"/>
    </row>
    <row r="185" spans="3:3" x14ac:dyDescent="0.3">
      <c r="C185" s="218"/>
    </row>
    <row r="186" spans="3:3" x14ac:dyDescent="0.3">
      <c r="C186" s="218"/>
    </row>
    <row r="187" spans="3:3" x14ac:dyDescent="0.3">
      <c r="C187" s="218"/>
    </row>
    <row r="188" spans="3:3" x14ac:dyDescent="0.3">
      <c r="C188" s="218"/>
    </row>
    <row r="189" spans="3:3" x14ac:dyDescent="0.3">
      <c r="C189" s="218"/>
    </row>
    <row r="190" spans="3:3" x14ac:dyDescent="0.3">
      <c r="C190" s="218"/>
    </row>
    <row r="191" spans="3:3" x14ac:dyDescent="0.3">
      <c r="C191" s="218"/>
    </row>
    <row r="192" spans="3:3" x14ac:dyDescent="0.3">
      <c r="C192" s="218"/>
    </row>
    <row r="193" spans="3:3" x14ac:dyDescent="0.3">
      <c r="C193" s="218"/>
    </row>
    <row r="194" spans="3:3" x14ac:dyDescent="0.3">
      <c r="C194" s="218"/>
    </row>
    <row r="195" spans="3:3" x14ac:dyDescent="0.3">
      <c r="C195" s="218"/>
    </row>
    <row r="196" spans="3:3" x14ac:dyDescent="0.3">
      <c r="C196" s="218"/>
    </row>
    <row r="197" spans="3:3" x14ac:dyDescent="0.3">
      <c r="C197" s="218"/>
    </row>
    <row r="198" spans="3:3" x14ac:dyDescent="0.3">
      <c r="C198" s="218"/>
    </row>
    <row r="199" spans="3:3" x14ac:dyDescent="0.3">
      <c r="C199" s="218"/>
    </row>
    <row r="200" spans="3:3" x14ac:dyDescent="0.3">
      <c r="C200" s="218"/>
    </row>
    <row r="201" spans="3:3" x14ac:dyDescent="0.3">
      <c r="C201" s="218"/>
    </row>
    <row r="202" spans="3:3" x14ac:dyDescent="0.3">
      <c r="C202" s="218"/>
    </row>
    <row r="203" spans="3:3" x14ac:dyDescent="0.3">
      <c r="C203" s="218"/>
    </row>
    <row r="204" spans="3:3" x14ac:dyDescent="0.3">
      <c r="C204" s="218"/>
    </row>
    <row r="205" spans="3:3" x14ac:dyDescent="0.3">
      <c r="C205" s="218"/>
    </row>
    <row r="206" spans="3:3" x14ac:dyDescent="0.3">
      <c r="C206" s="218"/>
    </row>
    <row r="207" spans="3:3" x14ac:dyDescent="0.3">
      <c r="C207" s="218"/>
    </row>
    <row r="208" spans="3:3" x14ac:dyDescent="0.3">
      <c r="C208" s="218"/>
    </row>
    <row r="209" spans="3:3" x14ac:dyDescent="0.3">
      <c r="C209" s="218"/>
    </row>
    <row r="210" spans="3:3" x14ac:dyDescent="0.3">
      <c r="C210" s="218"/>
    </row>
    <row r="211" spans="3:3" x14ac:dyDescent="0.3">
      <c r="C211" s="218"/>
    </row>
    <row r="212" spans="3:3" x14ac:dyDescent="0.3">
      <c r="C212" s="218"/>
    </row>
    <row r="213" spans="3:3" x14ac:dyDescent="0.3">
      <c r="C213" s="218"/>
    </row>
    <row r="214" spans="3:3" x14ac:dyDescent="0.3">
      <c r="C214" s="218"/>
    </row>
    <row r="215" spans="3:3" x14ac:dyDescent="0.3">
      <c r="C215" s="218"/>
    </row>
    <row r="216" spans="3:3" x14ac:dyDescent="0.3">
      <c r="C216" s="218"/>
    </row>
    <row r="217" spans="3:3" x14ac:dyDescent="0.3">
      <c r="C217" s="218"/>
    </row>
    <row r="218" spans="3:3" x14ac:dyDescent="0.3">
      <c r="C218" s="218"/>
    </row>
    <row r="219" spans="3:3" x14ac:dyDescent="0.3">
      <c r="C219" s="218"/>
    </row>
    <row r="220" spans="3:3" x14ac:dyDescent="0.3">
      <c r="C220" s="218"/>
    </row>
    <row r="221" spans="3:3" x14ac:dyDescent="0.3">
      <c r="C221" s="218"/>
    </row>
    <row r="222" spans="3:3" x14ac:dyDescent="0.3">
      <c r="C222" s="218"/>
    </row>
    <row r="223" spans="3:3" x14ac:dyDescent="0.3">
      <c r="C223" s="218"/>
    </row>
    <row r="224" spans="3:3" x14ac:dyDescent="0.3">
      <c r="C224" s="218"/>
    </row>
    <row r="225" spans="3:3" x14ac:dyDescent="0.3">
      <c r="C225" s="218"/>
    </row>
    <row r="226" spans="3:3" x14ac:dyDescent="0.3">
      <c r="C226" s="218"/>
    </row>
    <row r="227" spans="3:3" x14ac:dyDescent="0.3">
      <c r="C227" s="218"/>
    </row>
    <row r="228" spans="3:3" x14ac:dyDescent="0.3">
      <c r="C228" s="218"/>
    </row>
    <row r="229" spans="3:3" x14ac:dyDescent="0.3">
      <c r="C229" s="218"/>
    </row>
    <row r="230" spans="3:3" x14ac:dyDescent="0.3">
      <c r="C230" s="218"/>
    </row>
    <row r="231" spans="3:3" x14ac:dyDescent="0.3">
      <c r="C231" s="218"/>
    </row>
    <row r="232" spans="3:3" x14ac:dyDescent="0.3">
      <c r="C232" s="218"/>
    </row>
    <row r="233" spans="3:3" x14ac:dyDescent="0.3">
      <c r="C233" s="218"/>
    </row>
    <row r="234" spans="3:3" x14ac:dyDescent="0.3">
      <c r="C234" s="218"/>
    </row>
    <row r="235" spans="3:3" x14ac:dyDescent="0.3">
      <c r="C235" s="218"/>
    </row>
    <row r="236" spans="3:3" x14ac:dyDescent="0.3">
      <c r="C236" s="218"/>
    </row>
    <row r="237" spans="3:3" x14ac:dyDescent="0.3">
      <c r="C237" s="218"/>
    </row>
    <row r="238" spans="3:3" x14ac:dyDescent="0.3">
      <c r="C238" s="218"/>
    </row>
    <row r="239" spans="3:3" x14ac:dyDescent="0.3">
      <c r="C239" s="218"/>
    </row>
    <row r="240" spans="3:3" x14ac:dyDescent="0.3">
      <c r="C240" s="218"/>
    </row>
    <row r="241" spans="3:3" x14ac:dyDescent="0.3">
      <c r="C241" s="218"/>
    </row>
    <row r="242" spans="3:3" x14ac:dyDescent="0.3">
      <c r="C242" s="218"/>
    </row>
    <row r="243" spans="3:3" x14ac:dyDescent="0.3">
      <c r="C243" s="218"/>
    </row>
    <row r="244" spans="3:3" x14ac:dyDescent="0.3">
      <c r="C244" s="218"/>
    </row>
    <row r="245" spans="3:3" x14ac:dyDescent="0.3">
      <c r="C245" s="218"/>
    </row>
    <row r="246" spans="3:3" x14ac:dyDescent="0.3">
      <c r="C246" s="218"/>
    </row>
    <row r="247" spans="3:3" x14ac:dyDescent="0.3">
      <c r="C247" s="218"/>
    </row>
    <row r="248" spans="3:3" x14ac:dyDescent="0.3">
      <c r="C248" s="218"/>
    </row>
    <row r="249" spans="3:3" x14ac:dyDescent="0.3">
      <c r="C249" s="218"/>
    </row>
    <row r="250" spans="3:3" x14ac:dyDescent="0.3">
      <c r="C250" s="218"/>
    </row>
    <row r="251" spans="3:3" x14ac:dyDescent="0.3">
      <c r="C251" s="218"/>
    </row>
    <row r="252" spans="3:3" x14ac:dyDescent="0.3">
      <c r="C252" s="218"/>
    </row>
    <row r="253" spans="3:3" x14ac:dyDescent="0.3">
      <c r="C253" s="218"/>
    </row>
    <row r="254" spans="3:3" x14ac:dyDescent="0.3">
      <c r="C254" s="218"/>
    </row>
    <row r="255" spans="3:3" x14ac:dyDescent="0.3">
      <c r="C255" s="218"/>
    </row>
    <row r="256" spans="3:3" x14ac:dyDescent="0.3">
      <c r="C256" s="218"/>
    </row>
    <row r="257" spans="3:3" x14ac:dyDescent="0.3">
      <c r="C257" s="218"/>
    </row>
    <row r="258" spans="3:3" x14ac:dyDescent="0.3">
      <c r="C258" s="218"/>
    </row>
    <row r="259" spans="3:3" x14ac:dyDescent="0.3">
      <c r="C259" s="218"/>
    </row>
  </sheetData>
  <mergeCells count="47">
    <mergeCell ref="E1:G1"/>
    <mergeCell ref="E2:G2"/>
    <mergeCell ref="D4:I4"/>
    <mergeCell ref="D19:I19"/>
    <mergeCell ref="D27:I27"/>
    <mergeCell ref="D61:I61"/>
    <mergeCell ref="D45:D46"/>
    <mergeCell ref="E45:I46"/>
    <mergeCell ref="D47:D48"/>
    <mergeCell ref="E47:I48"/>
    <mergeCell ref="D49:D50"/>
    <mergeCell ref="E49:I50"/>
    <mergeCell ref="D41:D42"/>
    <mergeCell ref="B38:B39"/>
    <mergeCell ref="B2:B3"/>
    <mergeCell ref="B5:B6"/>
    <mergeCell ref="B8:B9"/>
    <mergeCell ref="B11:B12"/>
    <mergeCell ref="B14:B15"/>
    <mergeCell ref="D31:D32"/>
    <mergeCell ref="D33:D34"/>
    <mergeCell ref="D35:D36"/>
    <mergeCell ref="D37:D38"/>
    <mergeCell ref="D39:D40"/>
    <mergeCell ref="D29:D30"/>
    <mergeCell ref="B41:B42"/>
    <mergeCell ref="B17:B18"/>
    <mergeCell ref="B20:B21"/>
    <mergeCell ref="D43:I43"/>
    <mergeCell ref="B44:B45"/>
    <mergeCell ref="B47:B48"/>
    <mergeCell ref="B50:B51"/>
    <mergeCell ref="D57:I57"/>
    <mergeCell ref="D52:I52"/>
    <mergeCell ref="D53:I54"/>
    <mergeCell ref="D55:I56"/>
    <mergeCell ref="D72:D74"/>
    <mergeCell ref="D77:D79"/>
    <mergeCell ref="D82:D84"/>
    <mergeCell ref="D87:D89"/>
    <mergeCell ref="D62:D64"/>
    <mergeCell ref="D67:D69"/>
    <mergeCell ref="B23:B24"/>
    <mergeCell ref="B26:B27"/>
    <mergeCell ref="B29:B30"/>
    <mergeCell ref="B32:B33"/>
    <mergeCell ref="B35:B36"/>
  </mergeCells>
  <hyperlinks>
    <hyperlink ref="B2" location="Panel!C4" display="HOME" xr:uid="{F308FEF1-0020-49E6-9DB2-636AFB77D79F}"/>
    <hyperlink ref="B5" location="Panel!C4" display="HOME" xr:uid="{4F44D433-492A-459E-A28B-DA0DA17F4920}"/>
    <hyperlink ref="B17" location="Panel!C4" display="HOME" xr:uid="{5FDF01E4-05F3-4C47-91C7-8C2D76479DA9}"/>
    <hyperlink ref="B20" location="Panel!C4" display="HOME" xr:uid="{6A48B943-9A3B-41CC-8A2E-7CA2CA8852E7}"/>
    <hyperlink ref="B23" location="Panel!C4" display="HOME" xr:uid="{DFA587CE-1ABD-4273-9C52-00DB84198512}"/>
    <hyperlink ref="B5:B6" location="data_formula_legend!A1" display="DATA" xr:uid="{62741A65-8DAB-44DC-B08A-FDB35766D7A2}"/>
    <hyperlink ref="B17:B18" location="day_1!A1" display="DAY 1" xr:uid="{656D5FBE-BE4C-4C29-9B19-5AC27DD8856B}"/>
    <hyperlink ref="B8" location="Panel!C4" display="HOME" xr:uid="{E33499C0-056A-439F-9D5C-B65A2C6CC3A0}"/>
    <hyperlink ref="B8:B9" location="Runsheet!A1" display="RUNSHEET" xr:uid="{E3A25CB0-F30F-4B90-A087-A6523FBB38CF}"/>
    <hyperlink ref="B20:B21" location="day_2!A1" display="DAY 2" xr:uid="{4D585F93-37A5-4313-8658-F077819CFA7E}"/>
    <hyperlink ref="B23:B24" location="day_3!A1" display="DAY 3" xr:uid="{4CF58F1E-3948-4B40-896B-79B998C7BBB6}"/>
    <hyperlink ref="B2:B3" location="HOME!A1" display="HOME" xr:uid="{56380FC4-33EA-40D4-BBD3-C82AF2547392}"/>
    <hyperlink ref="B26" location="Panel!C4" display="HOME" xr:uid="{7390FDEA-BB80-47FF-B21E-237DA186F967}"/>
    <hyperlink ref="B26:B27" location="day_5!A1" display="DAY 4" xr:uid="{A8E96560-07E8-40CD-946B-59E6832BF032}"/>
    <hyperlink ref="B29" location="Panel!C4" display="HOME" xr:uid="{BB8B99E9-48A2-4FDE-98AA-C991808B29D2}"/>
    <hyperlink ref="B29:B30" location="day_5!A1" display="DAY 5" xr:uid="{51797339-D3BF-4FAB-A3BD-FD52EC6FAAA2}"/>
    <hyperlink ref="B32" location="Panel!C4" display="HOME" xr:uid="{106B52C6-69CF-4A12-92EC-94C4100E71D5}"/>
    <hyperlink ref="B32:B33" location="day_6!A1" display="DAY 6" xr:uid="{033EDC17-215C-428B-B8B5-75C9776EABAA}"/>
    <hyperlink ref="B14:B15" location="'Food Serves'!A1" display="FOOD SERVES" xr:uid="{AB1B666A-B2E9-4C8C-AFC7-50FE41B81371}"/>
    <hyperlink ref="B11:B12" location="'Rest Runsheet Food'!A1" display="RESTAURANT RUNSHEET" xr:uid="{0523585D-E287-410E-8B01-C91D39A620BB}"/>
    <hyperlink ref="B14" location="Panel!C4" display="HOME" xr:uid="{3ADD9E34-1CAC-47CF-921B-A567E6D2D39A}"/>
    <hyperlink ref="B11" location="Panel!C4" display="HOME" xr:uid="{212E86D4-0BD7-47CE-9A87-E0F396A8443C}"/>
    <hyperlink ref="B35" location="Panel!C4" display="HOME" xr:uid="{ABDEA34D-F524-4B4E-A5DE-32BF16CC822B}"/>
    <hyperlink ref="B35:B36" location="day_7!A1" display="DAY 7" xr:uid="{1D3D0B06-2193-476B-A79C-35FB995BF7FF}"/>
    <hyperlink ref="B38" location="Panel!C4" display="HOME" xr:uid="{F95289D2-530E-40FC-8D63-B85657EED31A}"/>
    <hyperlink ref="B38:B39" location="day_8!A1" display="DAY 8" xr:uid="{11809E95-615D-4CE2-86B0-D601D5ADCEB9}"/>
    <hyperlink ref="B41" location="Panel!C4" display="HOME" xr:uid="{E7B65F10-3935-42BF-9496-631E96906571}"/>
    <hyperlink ref="B41:B42" location="day_9!A1" display="DAY 9" xr:uid="{A2FB96BD-EC49-4943-BAD6-B804AC5A5313}"/>
    <hyperlink ref="B44" location="Panel!C4" display="HOME" xr:uid="{7DA4BEA0-0716-4AAE-8519-2F19EC6B3BC4}"/>
    <hyperlink ref="B44:B45" location="day_10!A1" display="DAY 10" xr:uid="{DDE9ADBD-8C3C-45B9-B78F-845225A1994E}"/>
    <hyperlink ref="B47" location="Panel!C4" display="HOME" xr:uid="{211CB6A0-8709-40D8-8492-872B751AF3D2}"/>
    <hyperlink ref="B47:B48" location="day_11!A1" display="DAY 11" xr:uid="{2FA55C74-24F3-4BC8-BAFF-6D2CDD03B7A0}"/>
    <hyperlink ref="B50" location="Panel!C4" display="HOME" xr:uid="{16A37799-EA80-43BD-912E-88107D734EF9}"/>
    <hyperlink ref="B50:B51" location="day_12!A1" display="DAY 12" xr:uid="{B41DCCF5-4045-43B6-A262-1DA3C8A0B517}"/>
  </hyperlinks>
  <pageMargins left="0.23622047244094491" right="0.23622047244094491" top="0.15748031496062992" bottom="0.74803149606299213" header="0.31496062992125984" footer="0.31496062992125984"/>
  <pageSetup paperSize="9" scale="53" fitToWidth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F8167-C140-4C77-A7FF-0CB6FE2907A8}">
  <sheetPr codeName="Sheet15">
    <pageSetUpPr fitToPage="1"/>
  </sheetPr>
  <dimension ref="A1:I259"/>
  <sheetViews>
    <sheetView topLeftCell="A16" zoomScale="85" zoomScaleNormal="85" workbookViewId="0">
      <selection activeCell="B11" sqref="B11:B12"/>
    </sheetView>
  </sheetViews>
  <sheetFormatPr defaultRowHeight="15.6" x14ac:dyDescent="0.3"/>
  <cols>
    <col min="1" max="1" width="1.77734375" style="216" customWidth="1"/>
    <col min="2" max="2" width="14.33203125" style="217" bestFit="1" customWidth="1"/>
    <col min="3" max="3" width="1.77734375" style="216" customWidth="1"/>
    <col min="4" max="4" width="43.77734375" bestFit="1" customWidth="1"/>
    <col min="5" max="5" width="22.21875" bestFit="1" customWidth="1"/>
    <col min="6" max="6" width="42.44140625" bestFit="1" customWidth="1"/>
    <col min="7" max="7" width="23.109375" bestFit="1" customWidth="1"/>
    <col min="8" max="8" width="27.21875" bestFit="1" customWidth="1"/>
    <col min="9" max="9" width="13.6640625" bestFit="1" customWidth="1"/>
  </cols>
  <sheetData>
    <row r="1" spans="1:9" ht="16.2" thickBot="1" x14ac:dyDescent="0.35">
      <c r="A1" s="212"/>
      <c r="B1" s="213"/>
      <c r="C1" s="212"/>
      <c r="D1" s="16"/>
      <c r="E1" s="351" t="str">
        <f>Runsheet!BA7</f>
        <v>Day 7</v>
      </c>
      <c r="F1" s="351"/>
      <c r="G1" s="351"/>
      <c r="H1" s="17"/>
      <c r="I1" s="18"/>
    </row>
    <row r="2" spans="1:9" ht="15" customHeight="1" thickTop="1" x14ac:dyDescent="0.3">
      <c r="A2" s="212"/>
      <c r="B2" s="318" t="s">
        <v>264</v>
      </c>
      <c r="C2" s="212"/>
      <c r="D2" s="19"/>
      <c r="E2" s="352">
        <f>Runsheet!BA6</f>
        <v>44792</v>
      </c>
      <c r="F2" s="352"/>
      <c r="G2" s="352"/>
      <c r="H2" s="4"/>
      <c r="I2" s="21"/>
    </row>
    <row r="3" spans="1:9" ht="15" customHeight="1" thickBot="1" x14ac:dyDescent="0.35">
      <c r="A3" s="212"/>
      <c r="B3" s="319"/>
      <c r="C3" s="212"/>
      <c r="D3" s="19"/>
      <c r="E3" s="144"/>
      <c r="F3" s="144"/>
      <c r="G3" s="144"/>
      <c r="H3" s="4"/>
      <c r="I3" s="21"/>
    </row>
    <row r="4" spans="1:9" ht="16.8" thickTop="1" thickBot="1" x14ac:dyDescent="0.35">
      <c r="A4" s="212"/>
      <c r="B4" s="213"/>
      <c r="C4" s="212"/>
      <c r="D4" s="354" t="s">
        <v>179</v>
      </c>
      <c r="E4" s="355"/>
      <c r="F4" s="355"/>
      <c r="G4" s="355"/>
      <c r="H4" s="355"/>
      <c r="I4" s="356"/>
    </row>
    <row r="5" spans="1:9" ht="15" customHeight="1" thickTop="1" x14ac:dyDescent="0.3">
      <c r="A5" s="212"/>
      <c r="B5" s="320" t="s">
        <v>247</v>
      </c>
      <c r="C5" s="212"/>
      <c r="D5" s="136" t="s">
        <v>37</v>
      </c>
      <c r="E5" s="136" t="s">
        <v>190</v>
      </c>
      <c r="F5" s="136" t="s">
        <v>195</v>
      </c>
      <c r="G5" s="136" t="s">
        <v>200</v>
      </c>
      <c r="H5" s="4"/>
      <c r="I5" s="21"/>
    </row>
    <row r="6" spans="1:9" ht="15" customHeight="1" thickBot="1" x14ac:dyDescent="0.35">
      <c r="A6" s="212"/>
      <c r="B6" s="321"/>
      <c r="C6" s="212"/>
      <c r="D6" s="137" t="str">
        <f>guest_lists[[#This Row],[tour_type]]</f>
        <v>12 - DPCYT</v>
      </c>
      <c r="E6" s="137" t="str">
        <f>guest_lists[[#This Row],[guest_lists]]</f>
        <v>Penelope Lister</v>
      </c>
      <c r="F6" s="137" t="str">
        <f>guest_lists[[#This Row],[party]]</f>
        <v>party_1 G1</v>
      </c>
      <c r="G6" s="137" t="str">
        <f>guest_lists[[#This Row],[dietary_requirements2]]</f>
        <v>nil</v>
      </c>
      <c r="H6" s="4"/>
      <c r="I6" s="21"/>
    </row>
    <row r="7" spans="1:9" ht="16.8" thickTop="1" thickBot="1" x14ac:dyDescent="0.35">
      <c r="A7" s="214"/>
      <c r="B7" s="213"/>
      <c r="C7" s="214"/>
      <c r="D7" s="137" t="str">
        <f>guest_lists[[#This Row],[tour_type]]</f>
        <v>12 - DPCYT</v>
      </c>
      <c r="E7" s="137" t="str">
        <f>guest_lists[[#This Row],[guest_lists]]</f>
        <v>Gerald Lister</v>
      </c>
      <c r="F7" s="137" t="str">
        <f>guest_lists[[#This Row],[party]]</f>
        <v>party_1 G2</v>
      </c>
      <c r="G7" s="137" t="str">
        <f>guest_lists[[#This Row],[dietary_requirements2]]</f>
        <v>nil</v>
      </c>
      <c r="H7" s="4"/>
      <c r="I7" s="21"/>
    </row>
    <row r="8" spans="1:9" ht="15" customHeight="1" thickTop="1" x14ac:dyDescent="0.3">
      <c r="A8" s="212"/>
      <c r="B8" s="318" t="s">
        <v>265</v>
      </c>
      <c r="C8" s="212"/>
      <c r="D8" s="137" t="str">
        <f>guest_lists[[#This Row],[tour_type]]</f>
        <v>12 - DPCYT</v>
      </c>
      <c r="E8" s="137" t="str">
        <f>guest_lists[[#This Row],[guest_lists]]</f>
        <v>Denis Lister</v>
      </c>
      <c r="F8" s="137" t="str">
        <f>guest_lists[[#This Row],[party]]</f>
        <v>party_2 G1</v>
      </c>
      <c r="G8" s="137" t="str">
        <f>guest_lists[[#This Row],[dietary_requirements2]]</f>
        <v>nil</v>
      </c>
      <c r="H8" s="4"/>
      <c r="I8" s="21"/>
    </row>
    <row r="9" spans="1:9" ht="15" customHeight="1" thickBot="1" x14ac:dyDescent="0.35">
      <c r="A9" s="212"/>
      <c r="B9" s="319"/>
      <c r="C9" s="215"/>
      <c r="D9" s="137" t="str">
        <f>guest_lists[[#This Row],[tour_type]]</f>
        <v>12 - DSCYT</v>
      </c>
      <c r="E9" s="137" t="str">
        <f>guest_lists[[#This Row],[guest_lists]]</f>
        <v>Mark Morgan</v>
      </c>
      <c r="F9" s="137" t="str">
        <f>guest_lists[[#This Row],[party]]</f>
        <v>party_3 G1</v>
      </c>
      <c r="G9" s="137" t="str">
        <f>guest_lists[[#This Row],[dietary_requirements2]]</f>
        <v>nil</v>
      </c>
      <c r="H9" s="4"/>
      <c r="I9" s="21"/>
    </row>
    <row r="10" spans="1:9" ht="16.8" thickTop="1" thickBot="1" x14ac:dyDescent="0.35">
      <c r="A10" s="212"/>
      <c r="B10" s="213"/>
      <c r="C10" s="215"/>
      <c r="D10" s="137" t="str">
        <f>guest_lists[[#This Row],[tour_type]]</f>
        <v>12 - DSCYT</v>
      </c>
      <c r="E10" s="137" t="str">
        <f>guest_lists[[#This Row],[guest_lists]]</f>
        <v>Nicola Morgan</v>
      </c>
      <c r="F10" s="137" t="str">
        <f>guest_lists[[#This Row],[party]]</f>
        <v>party_3 G2</v>
      </c>
      <c r="G10" s="137" t="str">
        <f>guest_lists[[#This Row],[dietary_requirements2]]</f>
        <v>nil</v>
      </c>
      <c r="H10" s="4"/>
      <c r="I10" s="21"/>
    </row>
    <row r="11" spans="1:9" ht="15" customHeight="1" thickTop="1" x14ac:dyDescent="0.3">
      <c r="A11" s="212"/>
      <c r="B11" s="318" t="s">
        <v>511</v>
      </c>
      <c r="C11" s="215"/>
      <c r="D11" s="137" t="str">
        <f>guest_lists[[#This Row],[tour_type]]</f>
        <v>12 - DSCYT</v>
      </c>
      <c r="E11" s="137" t="str">
        <f>guest_lists[[#This Row],[guest_lists]]</f>
        <v>Joan Roberts</v>
      </c>
      <c r="F11" s="137" t="str">
        <f>guest_lists[[#This Row],[party]]</f>
        <v>party_4 G1</v>
      </c>
      <c r="G11" s="137" t="str">
        <f>guest_lists[[#This Row],[dietary_requirements2]]</f>
        <v>nil</v>
      </c>
      <c r="H11" s="4"/>
      <c r="I11" s="21"/>
    </row>
    <row r="12" spans="1:9" ht="15" customHeight="1" thickBot="1" x14ac:dyDescent="0.35">
      <c r="A12" s="212"/>
      <c r="B12" s="319"/>
      <c r="C12" s="215"/>
      <c r="D12" s="137" t="str">
        <f>guest_lists[[#This Row],[tour_type]]</f>
        <v>12 - DSCYT</v>
      </c>
      <c r="E12" s="137" t="str">
        <f>guest_lists[[#This Row],[guest_lists]]</f>
        <v>Valerie Mead</v>
      </c>
      <c r="F12" s="137" t="str">
        <f>guest_lists[[#This Row],[party]]</f>
        <v>party_4 G2</v>
      </c>
      <c r="G12" s="137" t="str">
        <f>guest_lists[[#This Row],[dietary_requirements2]]</f>
        <v>nil</v>
      </c>
      <c r="H12" s="128"/>
      <c r="I12" s="21"/>
    </row>
    <row r="13" spans="1:9" ht="16.8" thickTop="1" thickBot="1" x14ac:dyDescent="0.35">
      <c r="A13" s="212"/>
      <c r="B13" s="213"/>
      <c r="C13" s="215"/>
      <c r="D13" s="137" t="str">
        <f>guest_lists[[#This Row],[tour_type]]</f>
        <v>12 - DSCYT</v>
      </c>
      <c r="E13" s="137" t="str">
        <f>guest_lists[[#This Row],[guest_lists]]</f>
        <v>Ann Berriman</v>
      </c>
      <c r="F13" s="137" t="str">
        <f>guest_lists[[#This Row],[party]]</f>
        <v>party_5 G1</v>
      </c>
      <c r="G13" s="137" t="str">
        <f>guest_lists[[#This Row],[dietary_requirements2]]</f>
        <v>nil</v>
      </c>
      <c r="H13" s="128"/>
      <c r="I13" s="21"/>
    </row>
    <row r="14" spans="1:9" ht="15" customHeight="1" thickTop="1" x14ac:dyDescent="0.3">
      <c r="A14" s="212"/>
      <c r="B14" s="318" t="s">
        <v>512</v>
      </c>
      <c r="C14" s="215"/>
      <c r="D14" s="137" t="str">
        <f>guest_lists[[#This Row],[tour_type]]</f>
        <v>12 - DSCYT</v>
      </c>
      <c r="E14" s="137" t="str">
        <f>guest_lists[[#This Row],[guest_lists]]</f>
        <v>Wanda Drost</v>
      </c>
      <c r="F14" s="137" t="str">
        <f>guest_lists[[#This Row],[party]]</f>
        <v>party_5 G2</v>
      </c>
      <c r="G14" s="137" t="str">
        <f>guest_lists[[#This Row],[dietary_requirements2]]</f>
        <v>celiac</v>
      </c>
      <c r="H14" s="128"/>
      <c r="I14" s="21"/>
    </row>
    <row r="15" spans="1:9" ht="15" customHeight="1" thickBot="1" x14ac:dyDescent="0.35">
      <c r="A15" s="212"/>
      <c r="B15" s="319"/>
      <c r="C15" s="215"/>
      <c r="D15" s="137" t="str">
        <f>guest_lists[[#This Row],[tour_type]]</f>
        <v>5 - DTT</v>
      </c>
      <c r="E15" s="137" t="str">
        <f>guest_lists[[#This Row],[guest_lists]]</f>
        <v>Ian Neil</v>
      </c>
      <c r="F15" s="137" t="str">
        <f>guest_lists[[#This Row],[party]]</f>
        <v>party_6 G1</v>
      </c>
      <c r="G15" s="137" t="str">
        <f>guest_lists[[#This Row],[dietary_requirements2]]</f>
        <v>nil</v>
      </c>
      <c r="H15" s="4"/>
      <c r="I15" s="21"/>
    </row>
    <row r="16" spans="1:9" ht="16.8" thickTop="1" thickBot="1" x14ac:dyDescent="0.35">
      <c r="A16" s="212"/>
      <c r="B16" s="213"/>
      <c r="C16" s="215"/>
      <c r="D16" s="137" t="str">
        <f>guest_lists[[#This Row],[tour_type]]</f>
        <v>5 - DTT</v>
      </c>
      <c r="E16" s="137" t="str">
        <f>guest_lists[[#This Row],[guest_lists]]</f>
        <v>Graheme Fergueson</v>
      </c>
      <c r="F16" s="137" t="str">
        <f>guest_lists[[#This Row],[party]]</f>
        <v>party_6 G2</v>
      </c>
      <c r="G16" s="137" t="str">
        <f>guest_lists[[#This Row],[dietary_requirements2]]</f>
        <v>nil</v>
      </c>
      <c r="H16" s="4"/>
      <c r="I16" s="21"/>
    </row>
    <row r="17" spans="1:9" ht="15" thickTop="1" x14ac:dyDescent="0.3">
      <c r="A17" s="212"/>
      <c r="B17" s="318" t="s">
        <v>266</v>
      </c>
      <c r="C17" s="215"/>
      <c r="D17" s="137" t="str">
        <f>guest_lists[[#This Row],[tour_type]]</f>
        <v>9 - DPSYT</v>
      </c>
      <c r="E17" s="137" t="str">
        <f>guest_lists[[#This Row],[guest_lists]]</f>
        <v>Raewyn Brookie</v>
      </c>
      <c r="F17" s="137" t="str">
        <f>guest_lists[[#This Row],[party]]</f>
        <v>party_7 G1</v>
      </c>
      <c r="G17" s="137" t="str">
        <f>guest_lists[[#This Row],[dietary_requirements2]]</f>
        <v>nil</v>
      </c>
      <c r="H17" s="4"/>
      <c r="I17" s="21"/>
    </row>
    <row r="18" spans="1:9" ht="15" thickBot="1" x14ac:dyDescent="0.35">
      <c r="A18" s="212"/>
      <c r="B18" s="319"/>
      <c r="C18" s="215"/>
      <c r="D18" s="137" t="e">
        <f>guest_lists[[#This Row],[tour_type]]</f>
        <v>#VALUE!</v>
      </c>
      <c r="E18" s="137" t="e">
        <f>guest_lists[[#This Row],[guest_lists]]</f>
        <v>#VALUE!</v>
      </c>
      <c r="F18" s="137" t="e">
        <f>guest_lists[[#This Row],[party]]</f>
        <v>#VALUE!</v>
      </c>
      <c r="G18" s="137" t="e">
        <f>guest_lists[[#This Row],[dietary_requirements2]]</f>
        <v>#VALUE!</v>
      </c>
      <c r="H18" s="4"/>
      <c r="I18" s="21"/>
    </row>
    <row r="19" spans="1:9" ht="15" customHeight="1" thickTop="1" thickBot="1" x14ac:dyDescent="0.35">
      <c r="A19" s="212"/>
      <c r="B19" s="213"/>
      <c r="C19" s="215"/>
      <c r="D19" s="325" t="s">
        <v>33</v>
      </c>
      <c r="E19" s="326"/>
      <c r="F19" s="326"/>
      <c r="G19" s="326"/>
      <c r="H19" s="326"/>
      <c r="I19" s="327"/>
    </row>
    <row r="20" spans="1:9" ht="15" customHeight="1" thickTop="1" x14ac:dyDescent="0.3">
      <c r="A20" s="212"/>
      <c r="B20" s="318" t="s">
        <v>267</v>
      </c>
      <c r="C20" s="215"/>
      <c r="D20" s="129" t="str">
        <f>Runsheet!E8</f>
        <v>Accommodation Booked</v>
      </c>
      <c r="E20" s="73" t="str">
        <f>Runsheet!E9</f>
        <v>Accommodation Entity</v>
      </c>
      <c r="F20" s="73" t="str">
        <f>Runsheet!F9</f>
        <v>Address</v>
      </c>
      <c r="G20" s="73" t="str">
        <f>Runsheet!G9</f>
        <v>Number of rooms on hold</v>
      </c>
      <c r="H20" s="73" t="str">
        <f>Runsheet!H9</f>
        <v>Bedding Configuration Booked</v>
      </c>
      <c r="I20" s="130" t="str">
        <f>Runsheet!I9</f>
        <v>Contact Details</v>
      </c>
    </row>
    <row r="21" spans="1:9" ht="15" thickBot="1" x14ac:dyDescent="0.35">
      <c r="A21" s="212"/>
      <c r="B21" s="319"/>
      <c r="C21" s="215"/>
      <c r="D21" s="131" t="str">
        <f>Runsheet!D10</f>
        <v>Accommodation #1</v>
      </c>
      <c r="E21" s="61" t="str">
        <f>Runsheet!BA10</f>
        <v>GreenHoose</v>
      </c>
      <c r="F21" s="61" t="str">
        <f>Runsheet!BB10</f>
        <v>161 Lockhart River Rd, Lockhart River QLD 4892</v>
      </c>
      <c r="G21" s="61">
        <f>Runsheet!BC10</f>
        <v>7</v>
      </c>
      <c r="H21" s="61">
        <f>Runsheet!BD10</f>
        <v>0</v>
      </c>
      <c r="I21" s="61" t="str">
        <f>Runsheet!BE10</f>
        <v>(07) 4060 7067</v>
      </c>
    </row>
    <row r="22" spans="1:9" ht="15" customHeight="1" thickTop="1" thickBot="1" x14ac:dyDescent="0.35">
      <c r="A22" s="212"/>
      <c r="B22" s="213"/>
      <c r="C22" s="215"/>
      <c r="D22" s="131" t="str">
        <f>Runsheet!D11</f>
        <v>Accommodation #2</v>
      </c>
      <c r="E22" s="61" t="str">
        <f>Runsheet!BA11</f>
        <v>A None</v>
      </c>
      <c r="F22" s="61">
        <f>Runsheet!BB11</f>
        <v>0</v>
      </c>
      <c r="G22" s="61">
        <f>Runsheet!BC11</f>
        <v>0</v>
      </c>
      <c r="H22" s="61">
        <f>Runsheet!BD11</f>
        <v>0</v>
      </c>
      <c r="I22" s="61">
        <f>Runsheet!BE11</f>
        <v>0</v>
      </c>
    </row>
    <row r="23" spans="1:9" ht="12.6" customHeight="1" thickTop="1" x14ac:dyDescent="0.3">
      <c r="A23" s="212"/>
      <c r="B23" s="318" t="s">
        <v>268</v>
      </c>
      <c r="C23" s="215"/>
      <c r="D23" s="131" t="str">
        <f>Runsheet!D12</f>
        <v>Accommodation #3</v>
      </c>
      <c r="E23" s="61" t="str">
        <f>Runsheet!BA12</f>
        <v>A None</v>
      </c>
      <c r="F23" s="61">
        <f>Runsheet!BB12</f>
        <v>0</v>
      </c>
      <c r="G23" s="61">
        <f>Runsheet!BC12</f>
        <v>0</v>
      </c>
      <c r="H23" s="61">
        <f>Runsheet!BD12</f>
        <v>0</v>
      </c>
      <c r="I23" s="61">
        <f>Runsheet!BE12</f>
        <v>0</v>
      </c>
    </row>
    <row r="24" spans="1:9" ht="15" thickBot="1" x14ac:dyDescent="0.35">
      <c r="A24" s="212"/>
      <c r="B24" s="319"/>
      <c r="C24" s="215"/>
      <c r="D24" s="131" t="str">
        <f>Runsheet!D13</f>
        <v>Accommodation #4</v>
      </c>
      <c r="E24" s="61" t="str">
        <f>Runsheet!BA13</f>
        <v>A None</v>
      </c>
      <c r="F24" s="61">
        <f>Runsheet!BB13</f>
        <v>0</v>
      </c>
      <c r="G24" s="61">
        <f>Runsheet!BC13</f>
        <v>0</v>
      </c>
      <c r="H24" s="61">
        <f>Runsheet!BD13</f>
        <v>0</v>
      </c>
      <c r="I24" s="61">
        <f>Runsheet!BE13</f>
        <v>0</v>
      </c>
    </row>
    <row r="25" spans="1:9" ht="15.6" customHeight="1" thickTop="1" thickBot="1" x14ac:dyDescent="0.35">
      <c r="A25" s="212"/>
      <c r="B25" s="213"/>
      <c r="C25" s="215"/>
      <c r="D25" s="19"/>
      <c r="E25" s="4"/>
      <c r="F25" s="20" t="str">
        <f>Runsheet!F14</f>
        <v xml:space="preserve">Total Accommodation </v>
      </c>
      <c r="G25" s="74">
        <f>Runsheet!AE14</f>
        <v>8</v>
      </c>
      <c r="H25" s="4"/>
      <c r="I25" s="21"/>
    </row>
    <row r="26" spans="1:9" ht="15.6" customHeight="1" thickTop="1" x14ac:dyDescent="0.3">
      <c r="A26" s="212"/>
      <c r="B26" s="318" t="s">
        <v>269</v>
      </c>
      <c r="C26" s="215"/>
      <c r="D26" s="19"/>
      <c r="E26" s="4"/>
      <c r="F26" s="4"/>
      <c r="G26" s="4"/>
      <c r="H26" s="4"/>
      <c r="I26" s="21"/>
    </row>
    <row r="27" spans="1:9" ht="15" thickBot="1" x14ac:dyDescent="0.35">
      <c r="A27" s="212"/>
      <c r="B27" s="319"/>
      <c r="C27" s="215"/>
      <c r="D27" s="325" t="str">
        <f>Runsheet!D15</f>
        <v>Guests Accommodation</v>
      </c>
      <c r="E27" s="326"/>
      <c r="F27" s="326"/>
      <c r="G27" s="326"/>
      <c r="H27" s="326"/>
      <c r="I27" s="327"/>
    </row>
    <row r="28" spans="1:9" ht="15" customHeight="1" thickTop="1" thickBot="1" x14ac:dyDescent="0.35">
      <c r="A28" s="212"/>
      <c r="B28" s="213"/>
      <c r="C28" s="215"/>
      <c r="D28" s="100" t="s">
        <v>195</v>
      </c>
      <c r="E28" s="76" t="s">
        <v>36</v>
      </c>
      <c r="F28" s="72" t="s">
        <v>33</v>
      </c>
      <c r="G28" s="20" t="s">
        <v>161</v>
      </c>
      <c r="H28" s="20" t="s">
        <v>186</v>
      </c>
      <c r="I28" s="48" t="s">
        <v>189</v>
      </c>
    </row>
    <row r="29" spans="1:9" ht="15" customHeight="1" thickTop="1" x14ac:dyDescent="0.3">
      <c r="A29" s="212"/>
      <c r="B29" s="318" t="s">
        <v>270</v>
      </c>
      <c r="C29" s="215"/>
      <c r="D29" s="353" t="str">
        <f>Runsheet!D17</f>
        <v>Party 1</v>
      </c>
      <c r="E29" s="65" t="str">
        <f>Runsheet!E17</f>
        <v>Penelope Lister</v>
      </c>
      <c r="F29" s="65" t="str">
        <f>Runsheet!BC17</f>
        <v>GreenHoose</v>
      </c>
      <c r="G29" s="65" t="str">
        <f>Runsheet!BD17</f>
        <v>double</v>
      </c>
      <c r="H29" s="65">
        <f>Runsheet!BE17</f>
        <v>0</v>
      </c>
      <c r="I29" s="65">
        <f>Runsheet!BF17</f>
        <v>0</v>
      </c>
    </row>
    <row r="30" spans="1:9" ht="15" thickBot="1" x14ac:dyDescent="0.35">
      <c r="A30" s="212"/>
      <c r="B30" s="319"/>
      <c r="C30" s="215"/>
      <c r="D30" s="353"/>
      <c r="E30" s="65" t="str">
        <f>Runsheet!E18</f>
        <v>Gerald Lister</v>
      </c>
      <c r="F30" s="65" t="str">
        <f>Runsheet!BC18</f>
        <v>GreenHoose</v>
      </c>
      <c r="G30" s="65" t="str">
        <f>Runsheet!BD18</f>
        <v>double</v>
      </c>
      <c r="H30" s="65">
        <f>Runsheet!BE18</f>
        <v>0</v>
      </c>
      <c r="I30" s="65">
        <f>Runsheet!BF18</f>
        <v>0</v>
      </c>
    </row>
    <row r="31" spans="1:9" ht="15" customHeight="1" thickTop="1" thickBot="1" x14ac:dyDescent="0.35">
      <c r="A31" s="212"/>
      <c r="B31" s="213"/>
      <c r="C31" s="215"/>
      <c r="D31" s="353" t="str">
        <f>Runsheet!D19</f>
        <v>Party 2</v>
      </c>
      <c r="E31" s="65" t="str">
        <f>Runsheet!E19</f>
        <v>Denis Lister</v>
      </c>
      <c r="F31" s="65" t="str">
        <f>Runsheet!BC19</f>
        <v>GreenHoose</v>
      </c>
      <c r="G31" s="65" t="str">
        <f>Runsheet!BD19</f>
        <v>double</v>
      </c>
      <c r="H31" s="65">
        <f>Runsheet!BE19</f>
        <v>0</v>
      </c>
      <c r="I31" s="65">
        <f>Runsheet!BF19</f>
        <v>0</v>
      </c>
    </row>
    <row r="32" spans="1:9" ht="15" customHeight="1" thickTop="1" x14ac:dyDescent="0.3">
      <c r="A32" s="212"/>
      <c r="B32" s="318" t="s">
        <v>271</v>
      </c>
      <c r="C32" s="215"/>
      <c r="D32" s="353"/>
      <c r="E32" s="65" t="e">
        <f>Runsheet!E20</f>
        <v>#N/A</v>
      </c>
      <c r="F32" s="65">
        <f>Runsheet!BC20</f>
        <v>0</v>
      </c>
      <c r="G32" s="65">
        <f>Runsheet!BD20</f>
        <v>0</v>
      </c>
      <c r="H32" s="65">
        <f>Runsheet!BE20</f>
        <v>0</v>
      </c>
      <c r="I32" s="65">
        <f>Runsheet!BF20</f>
        <v>0</v>
      </c>
    </row>
    <row r="33" spans="1:9" ht="15" thickBot="1" x14ac:dyDescent="0.35">
      <c r="A33" s="212"/>
      <c r="B33" s="319"/>
      <c r="C33" s="215"/>
      <c r="D33" s="353" t="str">
        <f>Runsheet!D21</f>
        <v>Party 3</v>
      </c>
      <c r="E33" s="65" t="str">
        <f>Runsheet!E21</f>
        <v>Mark Morgan</v>
      </c>
      <c r="F33" s="65" t="str">
        <f>Runsheet!BC21</f>
        <v>GreenHoose</v>
      </c>
      <c r="G33" s="65" t="str">
        <f>Runsheet!BD21</f>
        <v>double</v>
      </c>
      <c r="H33" s="65">
        <f>Runsheet!BE21</f>
        <v>0</v>
      </c>
      <c r="I33" s="65">
        <f>Runsheet!BF21</f>
        <v>0</v>
      </c>
    </row>
    <row r="34" spans="1:9" ht="15" customHeight="1" thickTop="1" thickBot="1" x14ac:dyDescent="0.35">
      <c r="A34" s="212"/>
      <c r="B34" s="213"/>
      <c r="C34" s="215"/>
      <c r="D34" s="353"/>
      <c r="E34" s="65" t="str">
        <f>Runsheet!E22</f>
        <v>Nicola Morgan</v>
      </c>
      <c r="F34" s="65" t="str">
        <f>Runsheet!BC22</f>
        <v>GreenHoose</v>
      </c>
      <c r="G34" s="65" t="str">
        <f>Runsheet!BD22</f>
        <v>double</v>
      </c>
      <c r="H34" s="65">
        <f>Runsheet!BE22</f>
        <v>0</v>
      </c>
      <c r="I34" s="65">
        <f>Runsheet!BF22</f>
        <v>0</v>
      </c>
    </row>
    <row r="35" spans="1:9" ht="15" customHeight="1" thickTop="1" x14ac:dyDescent="0.3">
      <c r="A35" s="212"/>
      <c r="B35" s="318" t="s">
        <v>272</v>
      </c>
      <c r="C35" s="215"/>
      <c r="D35" s="353" t="str">
        <f>Runsheet!D23</f>
        <v>Party 4</v>
      </c>
      <c r="E35" s="65" t="str">
        <f>Runsheet!E23</f>
        <v>Joan Roberts</v>
      </c>
      <c r="F35" s="65" t="str">
        <f>Runsheet!BC23</f>
        <v>GreenHoose</v>
      </c>
      <c r="G35" s="65" t="str">
        <f>Runsheet!BD23</f>
        <v>double</v>
      </c>
      <c r="H35" s="65">
        <f>Runsheet!BE23</f>
        <v>0</v>
      </c>
      <c r="I35" s="65">
        <f>Runsheet!BF23</f>
        <v>0</v>
      </c>
    </row>
    <row r="36" spans="1:9" ht="15" thickBot="1" x14ac:dyDescent="0.35">
      <c r="A36" s="212"/>
      <c r="B36" s="319"/>
      <c r="C36" s="215"/>
      <c r="D36" s="353"/>
      <c r="E36" s="65" t="str">
        <f>Runsheet!E24</f>
        <v>Valerie Mead</v>
      </c>
      <c r="F36" s="65" t="str">
        <f>Runsheet!BC24</f>
        <v>GreenHoose</v>
      </c>
      <c r="G36" s="65" t="str">
        <f>Runsheet!BD24</f>
        <v>double</v>
      </c>
      <c r="H36" s="65">
        <f>Runsheet!BE24</f>
        <v>0</v>
      </c>
      <c r="I36" s="65">
        <f>Runsheet!BF24</f>
        <v>0</v>
      </c>
    </row>
    <row r="37" spans="1:9" ht="15" customHeight="1" thickTop="1" thickBot="1" x14ac:dyDescent="0.35">
      <c r="A37" s="212"/>
      <c r="B37" s="213"/>
      <c r="C37" s="215"/>
      <c r="D37" s="353" t="str">
        <f>Runsheet!D25</f>
        <v>Party 5</v>
      </c>
      <c r="E37" s="65" t="str">
        <f>Runsheet!E25</f>
        <v>Ann Berriman</v>
      </c>
      <c r="F37" s="65" t="str">
        <f>Runsheet!BC25</f>
        <v>GreenHoose</v>
      </c>
      <c r="G37" s="65" t="str">
        <f>Runsheet!BD25</f>
        <v>double</v>
      </c>
      <c r="H37" s="65">
        <f>Runsheet!BE25</f>
        <v>0</v>
      </c>
      <c r="I37" s="65">
        <f>Runsheet!BF25</f>
        <v>0</v>
      </c>
    </row>
    <row r="38" spans="1:9" ht="15" customHeight="1" thickTop="1" x14ac:dyDescent="0.3">
      <c r="A38" s="212"/>
      <c r="B38" s="318" t="s">
        <v>273</v>
      </c>
      <c r="C38" s="215"/>
      <c r="D38" s="353"/>
      <c r="E38" s="65" t="str">
        <f>Runsheet!E26</f>
        <v>Wanda Drost</v>
      </c>
      <c r="F38" s="65" t="str">
        <f>Runsheet!BC26</f>
        <v>GreenHoose</v>
      </c>
      <c r="G38" s="65" t="str">
        <f>Runsheet!BD26</f>
        <v>double</v>
      </c>
      <c r="H38" s="65">
        <f>Runsheet!BE26</f>
        <v>0</v>
      </c>
      <c r="I38" s="65">
        <f>Runsheet!BF26</f>
        <v>0</v>
      </c>
    </row>
    <row r="39" spans="1:9" ht="15" thickBot="1" x14ac:dyDescent="0.35">
      <c r="A39" s="212"/>
      <c r="B39" s="319"/>
      <c r="C39" s="215"/>
      <c r="D39" s="353" t="str">
        <f>Runsheet!D27</f>
        <v>Party 6</v>
      </c>
      <c r="E39" s="65" t="str">
        <f>Runsheet!E27</f>
        <v>Ian Neil</v>
      </c>
      <c r="F39" s="65">
        <f>Runsheet!BC27</f>
        <v>0</v>
      </c>
      <c r="G39" s="65">
        <f>Runsheet!BD27</f>
        <v>0</v>
      </c>
      <c r="H39" s="65">
        <f>Runsheet!BE27</f>
        <v>0</v>
      </c>
      <c r="I39" s="65">
        <f>Runsheet!BF27</f>
        <v>0</v>
      </c>
    </row>
    <row r="40" spans="1:9" ht="15" customHeight="1" thickTop="1" thickBot="1" x14ac:dyDescent="0.35">
      <c r="A40" s="212"/>
      <c r="B40" s="213"/>
      <c r="C40" s="215"/>
      <c r="D40" s="353"/>
      <c r="E40" s="65" t="str">
        <f>Runsheet!E28</f>
        <v>Graheme Fergueson</v>
      </c>
      <c r="F40" s="65">
        <f>Runsheet!BC28</f>
        <v>0</v>
      </c>
      <c r="G40" s="65">
        <f>Runsheet!BD28</f>
        <v>0</v>
      </c>
      <c r="H40" s="65">
        <f>Runsheet!BE28</f>
        <v>0</v>
      </c>
      <c r="I40" s="65">
        <f>Runsheet!BF28</f>
        <v>0</v>
      </c>
    </row>
    <row r="41" spans="1:9" ht="15" customHeight="1" thickTop="1" x14ac:dyDescent="0.3">
      <c r="A41" s="212"/>
      <c r="B41" s="318" t="s">
        <v>274</v>
      </c>
      <c r="C41" s="215"/>
      <c r="D41" s="353" t="str">
        <f>Runsheet!D29</f>
        <v>Party 7</v>
      </c>
      <c r="E41" s="65" t="str">
        <f>Runsheet!E29</f>
        <v>Raewyn Brookie</v>
      </c>
      <c r="F41" s="65" t="str">
        <f>Runsheet!BC29</f>
        <v>GreenHoose</v>
      </c>
      <c r="G41" s="65" t="str">
        <f>Runsheet!BD29</f>
        <v>double</v>
      </c>
      <c r="H41" s="65">
        <f>Runsheet!BE29</f>
        <v>0</v>
      </c>
      <c r="I41" s="65">
        <f>Runsheet!BF29</f>
        <v>0</v>
      </c>
    </row>
    <row r="42" spans="1:9" ht="15" thickBot="1" x14ac:dyDescent="0.35">
      <c r="A42" s="212"/>
      <c r="B42" s="319"/>
      <c r="C42" s="215"/>
      <c r="D42" s="353"/>
      <c r="E42" s="65" t="e">
        <f>Runsheet!E30</f>
        <v>#N/A</v>
      </c>
      <c r="F42" s="65">
        <f>Runsheet!BC30</f>
        <v>0</v>
      </c>
      <c r="G42" s="65">
        <f>Runsheet!BD30</f>
        <v>0</v>
      </c>
      <c r="H42" s="65">
        <f>Runsheet!BE30</f>
        <v>0</v>
      </c>
      <c r="I42" s="65">
        <f>Runsheet!BF30</f>
        <v>0</v>
      </c>
    </row>
    <row r="43" spans="1:9" ht="16.8" thickTop="1" thickBot="1" x14ac:dyDescent="0.35">
      <c r="A43" s="212"/>
      <c r="B43" s="213"/>
      <c r="C43" s="215"/>
      <c r="D43" s="325" t="str">
        <f>Runsheet!D36</f>
        <v>Dinning Arrangements</v>
      </c>
      <c r="E43" s="326"/>
      <c r="F43" s="326"/>
      <c r="G43" s="326"/>
      <c r="H43" s="326"/>
      <c r="I43" s="327"/>
    </row>
    <row r="44" spans="1:9" ht="15" customHeight="1" thickTop="1" x14ac:dyDescent="0.3">
      <c r="A44" s="212"/>
      <c r="B44" s="318" t="s">
        <v>275</v>
      </c>
      <c r="C44" s="215"/>
      <c r="D44" s="19"/>
      <c r="E44" s="4"/>
      <c r="F44" s="4"/>
      <c r="G44" s="4"/>
      <c r="H44" s="4"/>
      <c r="I44" s="21"/>
    </row>
    <row r="45" spans="1:9" ht="15" customHeight="1" thickBot="1" x14ac:dyDescent="0.35">
      <c r="A45" s="212"/>
      <c r="B45" s="319"/>
      <c r="C45" s="215"/>
      <c r="D45" s="328" t="str">
        <f>Runsheet!D37</f>
        <v xml:space="preserve">Breakfast </v>
      </c>
      <c r="E45" s="329" t="str">
        <f>Runsheet!BA37</f>
        <v>Must Cook Breakfast at Greenhoose</v>
      </c>
      <c r="F45" s="330"/>
      <c r="G45" s="330"/>
      <c r="H45" s="330"/>
      <c r="I45" s="331"/>
    </row>
    <row r="46" spans="1:9" ht="16.8" thickTop="1" thickBot="1" x14ac:dyDescent="0.35">
      <c r="A46" s="212"/>
      <c r="B46" s="213"/>
      <c r="C46" s="215"/>
      <c r="D46" s="328"/>
      <c r="E46" s="332"/>
      <c r="F46" s="333"/>
      <c r="G46" s="333"/>
      <c r="H46" s="333"/>
      <c r="I46" s="334"/>
    </row>
    <row r="47" spans="1:9" ht="57.6" customHeight="1" thickTop="1" x14ac:dyDescent="0.3">
      <c r="A47" s="212"/>
      <c r="B47" s="318" t="s">
        <v>276</v>
      </c>
      <c r="C47" s="215"/>
      <c r="D47" s="328" t="str">
        <f>Runsheet!D39</f>
        <v xml:space="preserve">Lunch </v>
      </c>
      <c r="E47" s="329" t="str">
        <f>Runsheet!BA39</f>
        <v>Must Cook Lunch</v>
      </c>
      <c r="F47" s="330"/>
      <c r="G47" s="330"/>
      <c r="H47" s="330"/>
      <c r="I47" s="331"/>
    </row>
    <row r="48" spans="1:9" ht="15" thickBot="1" x14ac:dyDescent="0.35">
      <c r="A48" s="212"/>
      <c r="B48" s="319"/>
      <c r="C48" s="215"/>
      <c r="D48" s="328"/>
      <c r="E48" s="332"/>
      <c r="F48" s="333"/>
      <c r="G48" s="333"/>
      <c r="H48" s="333"/>
      <c r="I48" s="334"/>
    </row>
    <row r="49" spans="1:9" ht="28.8" customHeight="1" thickTop="1" thickBot="1" x14ac:dyDescent="0.35">
      <c r="A49" s="212"/>
      <c r="B49" s="213"/>
      <c r="C49" s="215"/>
      <c r="D49" s="328" t="str">
        <f>Runsheet!D41</f>
        <v xml:space="preserve">Dinner </v>
      </c>
      <c r="E49" s="329" t="str">
        <f>Runsheet!BA41</f>
        <v>Must Cook Dinner</v>
      </c>
      <c r="F49" s="330"/>
      <c r="G49" s="330"/>
      <c r="H49" s="330"/>
      <c r="I49" s="331"/>
    </row>
    <row r="50" spans="1:9" ht="15" customHeight="1" thickTop="1" x14ac:dyDescent="0.3">
      <c r="A50" s="212"/>
      <c r="B50" s="318" t="s">
        <v>277</v>
      </c>
      <c r="C50" s="215"/>
      <c r="D50" s="328"/>
      <c r="E50" s="332"/>
      <c r="F50" s="333"/>
      <c r="G50" s="333"/>
      <c r="H50" s="333"/>
      <c r="I50" s="334"/>
    </row>
    <row r="51" spans="1:9" ht="15" customHeight="1" thickBot="1" x14ac:dyDescent="0.35">
      <c r="A51" s="212"/>
      <c r="B51" s="319"/>
      <c r="C51" s="215"/>
      <c r="D51" s="134"/>
      <c r="E51" s="142"/>
      <c r="F51" s="142"/>
      <c r="G51" s="142"/>
      <c r="H51" s="142"/>
      <c r="I51" s="143"/>
    </row>
    <row r="52" spans="1:9" ht="16.2" thickTop="1" x14ac:dyDescent="0.3">
      <c r="A52" s="212"/>
      <c r="B52" s="213"/>
      <c r="C52" s="215"/>
      <c r="D52" s="325" t="s">
        <v>210</v>
      </c>
      <c r="E52" s="326"/>
      <c r="F52" s="326"/>
      <c r="G52" s="326"/>
      <c r="H52" s="326"/>
      <c r="I52" s="327"/>
    </row>
    <row r="53" spans="1:9" ht="15" customHeight="1" x14ac:dyDescent="0.3">
      <c r="A53" s="212"/>
      <c r="B53" s="213"/>
      <c r="C53" s="215"/>
      <c r="D53" s="360" t="str">
        <f>Runsheet!AZ44</f>
        <v xml:space="preserve">Claudie Waterfall/Chilli Beach/ Lockhart Art Centre / FNE guided night walk </v>
      </c>
      <c r="E53" s="360"/>
      <c r="F53" s="360"/>
      <c r="G53" s="360"/>
      <c r="H53" s="360"/>
      <c r="I53" s="360"/>
    </row>
    <row r="54" spans="1:9" ht="15" customHeight="1" x14ac:dyDescent="0.3">
      <c r="A54" s="212"/>
      <c r="B54" s="231"/>
      <c r="C54" s="215"/>
      <c r="D54" s="360"/>
      <c r="E54" s="360"/>
      <c r="F54" s="360"/>
      <c r="G54" s="360"/>
      <c r="H54" s="360"/>
      <c r="I54" s="360"/>
    </row>
    <row r="55" spans="1:9" x14ac:dyDescent="0.3">
      <c r="A55" s="212"/>
      <c r="B55" s="231"/>
      <c r="C55" s="215"/>
      <c r="D55" s="360">
        <f>Runsheet!AZ45</f>
        <v>0</v>
      </c>
      <c r="E55" s="360"/>
      <c r="F55" s="360"/>
      <c r="G55" s="360"/>
      <c r="H55" s="360"/>
      <c r="I55" s="360"/>
    </row>
    <row r="56" spans="1:9" x14ac:dyDescent="0.3">
      <c r="A56" s="212"/>
      <c r="B56" s="213"/>
      <c r="C56" s="215"/>
      <c r="D56" s="360"/>
      <c r="E56" s="360"/>
      <c r="F56" s="360"/>
      <c r="G56" s="360"/>
      <c r="H56" s="360"/>
      <c r="I56" s="360"/>
    </row>
    <row r="57" spans="1:9" x14ac:dyDescent="0.3">
      <c r="A57" s="212"/>
      <c r="B57" s="213"/>
      <c r="C57" s="215"/>
      <c r="D57" s="325" t="s">
        <v>363</v>
      </c>
      <c r="E57" s="326"/>
      <c r="F57" s="326"/>
      <c r="G57" s="326"/>
      <c r="H57" s="326"/>
      <c r="I57" s="327"/>
    </row>
    <row r="58" spans="1:9" ht="43.2" x14ac:dyDescent="0.3">
      <c r="A58" s="212"/>
      <c r="B58" s="213"/>
      <c r="C58" s="215"/>
      <c r="D58" s="232"/>
      <c r="E58" s="242" t="str" cm="1">
        <f t="array" ref="E58:H58">day_7_itinerary_highlights[]</f>
        <v>Iron Range National Park via the Old Telegraph Road</v>
      </c>
      <c r="F58" s="138" t="str">
        <v>Mount Tozer</v>
      </c>
      <c r="G58" s="138">
        <v>0</v>
      </c>
      <c r="H58" s="138">
        <v>0</v>
      </c>
      <c r="I58" s="233"/>
    </row>
    <row r="59" spans="1:9" x14ac:dyDescent="0.3">
      <c r="A59" s="212"/>
      <c r="B59" s="213"/>
      <c r="C59" s="215"/>
      <c r="D59" s="234"/>
      <c r="E59" s="235"/>
      <c r="F59" s="235"/>
      <c r="G59" s="235"/>
      <c r="H59" s="235"/>
      <c r="I59" s="236"/>
    </row>
    <row r="60" spans="1:9" x14ac:dyDescent="0.3">
      <c r="A60" s="212"/>
      <c r="B60" s="213"/>
      <c r="C60" s="215"/>
      <c r="D60" s="234"/>
      <c r="E60" s="235"/>
      <c r="F60" s="235"/>
      <c r="G60" s="235"/>
      <c r="H60" s="235"/>
      <c r="I60" s="236"/>
    </row>
    <row r="61" spans="1:9" x14ac:dyDescent="0.3">
      <c r="A61" s="212"/>
      <c r="B61" s="213"/>
      <c r="C61" s="215"/>
      <c r="D61" s="325" t="s">
        <v>209</v>
      </c>
      <c r="E61" s="326"/>
      <c r="F61" s="326"/>
      <c r="G61" s="326"/>
      <c r="H61" s="326"/>
      <c r="I61" s="327"/>
    </row>
    <row r="62" spans="1:9" x14ac:dyDescent="0.3">
      <c r="A62" s="212"/>
      <c r="B62" s="213"/>
      <c r="C62" s="215"/>
      <c r="D62" s="359" t="s">
        <v>97</v>
      </c>
      <c r="E62" s="33" t="s">
        <v>11</v>
      </c>
      <c r="F62" s="39" t="str">
        <f>'Rest Runsheet Food'!R10</f>
        <v>Bacon, Eggs &amp; Sausages</v>
      </c>
      <c r="G62" s="39">
        <f>'Rest Runsheet Food'!S10</f>
        <v>11</v>
      </c>
      <c r="H62" s="4"/>
      <c r="I62" s="21"/>
    </row>
    <row r="63" spans="1:9" x14ac:dyDescent="0.3">
      <c r="A63" s="212"/>
      <c r="B63" s="213"/>
      <c r="C63" s="215"/>
      <c r="D63" s="339"/>
      <c r="E63" s="30" t="s">
        <v>9</v>
      </c>
      <c r="F63" s="39" t="str">
        <f>'Rest Runsheet Food'!R11</f>
        <v>Toasted Chicken Paninis</v>
      </c>
      <c r="G63" s="39">
        <f>'Rest Runsheet Food'!S11</f>
        <v>11</v>
      </c>
      <c r="H63" s="4"/>
      <c r="I63" s="21"/>
    </row>
    <row r="64" spans="1:9" x14ac:dyDescent="0.3">
      <c r="A64" s="212"/>
      <c r="B64" s="213"/>
      <c r="C64" s="215"/>
      <c r="D64" s="340"/>
      <c r="E64" s="34" t="s">
        <v>1</v>
      </c>
      <c r="F64" s="39" t="str">
        <f>'Rest Runsheet Food'!R12</f>
        <v>Pulled Pork Nachos</v>
      </c>
      <c r="G64" s="39">
        <f>'Rest Runsheet Food'!S12</f>
        <v>11</v>
      </c>
      <c r="H64" s="4"/>
      <c r="I64" s="21"/>
    </row>
    <row r="65" spans="1:9" x14ac:dyDescent="0.3">
      <c r="A65" s="212"/>
      <c r="B65" s="213"/>
      <c r="C65" s="215"/>
      <c r="D65" s="19"/>
      <c r="E65" s="4"/>
      <c r="F65" s="4"/>
      <c r="G65" s="4"/>
      <c r="H65" s="4"/>
      <c r="I65" s="21"/>
    </row>
    <row r="66" spans="1:9" x14ac:dyDescent="0.3">
      <c r="A66" s="212"/>
      <c r="B66" s="213"/>
      <c r="C66" s="215"/>
      <c r="D66" s="19"/>
      <c r="E66" s="4"/>
      <c r="F66" s="141" t="s">
        <v>76</v>
      </c>
      <c r="G66" s="38" t="s">
        <v>77</v>
      </c>
      <c r="H66" s="4"/>
      <c r="I66" s="21"/>
    </row>
    <row r="67" spans="1:9" x14ac:dyDescent="0.3">
      <c r="A67" s="212"/>
      <c r="B67" s="213"/>
      <c r="C67" s="215"/>
      <c r="D67" s="341" t="s">
        <v>120</v>
      </c>
      <c r="E67" s="33" t="s">
        <v>11</v>
      </c>
      <c r="F67" s="39" t="str">
        <f>'Rest Runsheet Food'!R20</f>
        <v>Bacon, Eggs &amp; Sausages</v>
      </c>
      <c r="G67" s="39">
        <f>'Rest Runsheet Food'!S20</f>
        <v>1</v>
      </c>
      <c r="H67" s="4"/>
      <c r="I67" s="21"/>
    </row>
    <row r="68" spans="1:9" x14ac:dyDescent="0.3">
      <c r="A68" s="212"/>
      <c r="B68" s="213"/>
      <c r="C68" s="215"/>
      <c r="D68" s="342"/>
      <c r="E68" s="30" t="s">
        <v>9</v>
      </c>
      <c r="F68" s="39" t="str">
        <f>'Rest Runsheet Food'!R21</f>
        <v>Toasted Chicken Paninis</v>
      </c>
      <c r="G68" s="39">
        <f>'Rest Runsheet Food'!S21</f>
        <v>1</v>
      </c>
      <c r="H68" s="4"/>
      <c r="I68" s="21"/>
    </row>
    <row r="69" spans="1:9" x14ac:dyDescent="0.3">
      <c r="A69" s="212"/>
      <c r="B69" s="213"/>
      <c r="C69" s="215"/>
      <c r="D69" s="343"/>
      <c r="E69" s="34" t="s">
        <v>1</v>
      </c>
      <c r="F69" s="39" t="str">
        <f>'Rest Runsheet Food'!R22</f>
        <v>Pulled Pork Nachos</v>
      </c>
      <c r="G69" s="39">
        <f>'Rest Runsheet Food'!S22</f>
        <v>1</v>
      </c>
      <c r="H69" s="4"/>
      <c r="I69" s="21"/>
    </row>
    <row r="70" spans="1:9" x14ac:dyDescent="0.3">
      <c r="A70" s="212"/>
      <c r="B70" s="213"/>
      <c r="C70" s="215"/>
      <c r="D70" s="19"/>
      <c r="E70" s="4"/>
      <c r="F70" s="4"/>
      <c r="G70" s="4"/>
      <c r="H70" s="4"/>
      <c r="I70" s="21"/>
    </row>
    <row r="71" spans="1:9" x14ac:dyDescent="0.3">
      <c r="A71" s="212"/>
      <c r="B71" s="213"/>
      <c r="C71" s="215"/>
      <c r="D71" s="19"/>
      <c r="E71" s="4"/>
      <c r="F71" s="141" t="s">
        <v>76</v>
      </c>
      <c r="G71" s="38" t="s">
        <v>77</v>
      </c>
      <c r="H71" s="4"/>
      <c r="I71" s="21"/>
    </row>
    <row r="72" spans="1:9" x14ac:dyDescent="0.3">
      <c r="A72" s="212"/>
      <c r="B72" s="213"/>
      <c r="C72" s="215"/>
      <c r="D72" s="344" t="s">
        <v>123</v>
      </c>
      <c r="E72" s="33" t="s">
        <v>11</v>
      </c>
      <c r="F72" s="39" t="str">
        <f>'Rest Runsheet Food'!R29</f>
        <v>Bacon, Eggs &amp; Sausages</v>
      </c>
      <c r="G72" s="39">
        <f>'Rest Runsheet Food'!S29</f>
        <v>0</v>
      </c>
      <c r="H72" s="4"/>
      <c r="I72" s="21"/>
    </row>
    <row r="73" spans="1:9" x14ac:dyDescent="0.3">
      <c r="C73" s="218"/>
      <c r="D73" s="345"/>
      <c r="E73" s="30" t="s">
        <v>9</v>
      </c>
      <c r="F73" s="39" t="str">
        <f>'Rest Runsheet Food'!R30</f>
        <v>Toasted Chicken Paninis</v>
      </c>
      <c r="G73" s="39">
        <f>'Rest Runsheet Food'!S30</f>
        <v>0</v>
      </c>
      <c r="H73" s="4"/>
      <c r="I73" s="21"/>
    </row>
    <row r="74" spans="1:9" x14ac:dyDescent="0.3">
      <c r="C74" s="218"/>
      <c r="D74" s="346"/>
      <c r="E74" s="34" t="s">
        <v>1</v>
      </c>
      <c r="F74" s="39" t="str">
        <f>'Rest Runsheet Food'!R31</f>
        <v>Pulled Pork Nachos</v>
      </c>
      <c r="G74" s="39">
        <f>'Rest Runsheet Food'!S31</f>
        <v>0</v>
      </c>
      <c r="H74" s="4"/>
      <c r="I74" s="21"/>
    </row>
    <row r="75" spans="1:9" x14ac:dyDescent="0.3">
      <c r="C75" s="218"/>
      <c r="D75" s="19"/>
      <c r="E75" s="4"/>
      <c r="F75" s="4"/>
      <c r="G75" s="4"/>
      <c r="H75" s="4"/>
      <c r="I75" s="21"/>
    </row>
    <row r="76" spans="1:9" x14ac:dyDescent="0.3">
      <c r="C76" s="218"/>
      <c r="D76" s="19"/>
      <c r="E76" s="4"/>
      <c r="F76" s="141" t="s">
        <v>76</v>
      </c>
      <c r="G76" s="38" t="s">
        <v>77</v>
      </c>
      <c r="H76" s="4"/>
      <c r="I76" s="21"/>
    </row>
    <row r="77" spans="1:9" x14ac:dyDescent="0.3">
      <c r="C77" s="218"/>
      <c r="D77" s="349" t="s">
        <v>126</v>
      </c>
      <c r="E77" s="33" t="s">
        <v>11</v>
      </c>
      <c r="F77" s="39" t="str">
        <f>'Rest Runsheet Food'!R38</f>
        <v>Bacon, Eggs &amp; Sausages</v>
      </c>
      <c r="G77" s="39">
        <f>'Rest Runsheet Food'!S38</f>
        <v>0</v>
      </c>
      <c r="H77" s="4"/>
      <c r="I77" s="21"/>
    </row>
    <row r="78" spans="1:9" ht="19.8" customHeight="1" x14ac:dyDescent="0.3">
      <c r="C78" s="218"/>
      <c r="D78" s="350"/>
      <c r="E78" s="30" t="s">
        <v>9</v>
      </c>
      <c r="F78" s="39" t="str">
        <f>'Rest Runsheet Food'!R39</f>
        <v>Toasted Chicken Paninis</v>
      </c>
      <c r="G78" s="39">
        <f>'Rest Runsheet Food'!S39</f>
        <v>0</v>
      </c>
      <c r="H78" s="4"/>
      <c r="I78" s="21"/>
    </row>
    <row r="79" spans="1:9" x14ac:dyDescent="0.3">
      <c r="C79" s="218"/>
      <c r="D79" s="357"/>
      <c r="E79" s="34" t="s">
        <v>1</v>
      </c>
      <c r="F79" s="39" t="str">
        <f>'Rest Runsheet Food'!R40</f>
        <v>Pulled Pork Nachos</v>
      </c>
      <c r="G79" s="39">
        <f>'Rest Runsheet Food'!S40</f>
        <v>0</v>
      </c>
      <c r="H79" s="4"/>
      <c r="I79" s="21"/>
    </row>
    <row r="80" spans="1:9" x14ac:dyDescent="0.3">
      <c r="C80" s="218"/>
      <c r="D80" s="141"/>
      <c r="E80" s="30"/>
      <c r="F80" s="4"/>
      <c r="G80" s="4"/>
      <c r="H80" s="4"/>
      <c r="I80" s="21"/>
    </row>
    <row r="81" spans="3:9" x14ac:dyDescent="0.3">
      <c r="C81" s="218"/>
      <c r="D81" s="19"/>
      <c r="E81" s="4"/>
      <c r="F81" s="141" t="s">
        <v>76</v>
      </c>
      <c r="G81" s="38" t="s">
        <v>77</v>
      </c>
      <c r="H81" s="4"/>
      <c r="I81" s="21"/>
    </row>
    <row r="82" spans="3:9" x14ac:dyDescent="0.3">
      <c r="C82" s="218"/>
      <c r="D82" s="358" t="s">
        <v>128</v>
      </c>
      <c r="E82" s="33" t="s">
        <v>11</v>
      </c>
      <c r="F82" s="39" t="str">
        <f>'Rest Runsheet Food'!R47</f>
        <v>Bacon, Eggs &amp; Sausages</v>
      </c>
      <c r="G82" s="39">
        <f>'Rest Runsheet Food'!S47</f>
        <v>0</v>
      </c>
      <c r="H82" s="4"/>
      <c r="I82" s="21"/>
    </row>
    <row r="83" spans="3:9" x14ac:dyDescent="0.3">
      <c r="C83" s="218"/>
      <c r="D83" s="347"/>
      <c r="E83" s="30" t="s">
        <v>9</v>
      </c>
      <c r="F83" s="39" t="str">
        <f>'Rest Runsheet Food'!R48</f>
        <v>Toasted Chicken Paninis</v>
      </c>
      <c r="G83" s="39">
        <f>'Rest Runsheet Food'!S48</f>
        <v>0</v>
      </c>
      <c r="H83" s="4"/>
      <c r="I83" s="21"/>
    </row>
    <row r="84" spans="3:9" x14ac:dyDescent="0.3">
      <c r="C84" s="218"/>
      <c r="D84" s="348"/>
      <c r="E84" s="34" t="s">
        <v>1</v>
      </c>
      <c r="F84" s="39" t="str">
        <f>'Rest Runsheet Food'!R49</f>
        <v>Pulled Pork Nachos</v>
      </c>
      <c r="G84" s="39">
        <f>'Rest Runsheet Food'!S49</f>
        <v>0</v>
      </c>
      <c r="H84" s="4"/>
      <c r="I84" s="21"/>
    </row>
    <row r="85" spans="3:9" x14ac:dyDescent="0.3">
      <c r="C85" s="218"/>
      <c r="D85" s="141"/>
      <c r="E85" s="30"/>
      <c r="F85" s="4"/>
      <c r="G85" s="4"/>
      <c r="H85" s="4"/>
      <c r="I85" s="21"/>
    </row>
    <row r="86" spans="3:9" x14ac:dyDescent="0.3">
      <c r="C86" s="218"/>
      <c r="D86" s="19"/>
      <c r="E86" s="4"/>
      <c r="F86" s="141" t="s">
        <v>76</v>
      </c>
      <c r="G86" s="38" t="s">
        <v>77</v>
      </c>
      <c r="H86" s="4"/>
      <c r="I86" s="21"/>
    </row>
    <row r="87" spans="3:9" x14ac:dyDescent="0.3">
      <c r="C87" s="218"/>
      <c r="D87" s="335" t="s">
        <v>135</v>
      </c>
      <c r="E87" s="33" t="s">
        <v>11</v>
      </c>
      <c r="F87" s="39" t="str">
        <f>'Rest Runsheet Food'!R57</f>
        <v>Bacon, Eggs &amp; Sausages</v>
      </c>
      <c r="G87" s="39">
        <f>'Rest Runsheet Food'!S57</f>
        <v>0</v>
      </c>
      <c r="H87" s="4"/>
      <c r="I87" s="21"/>
    </row>
    <row r="88" spans="3:9" x14ac:dyDescent="0.3">
      <c r="C88" s="218"/>
      <c r="D88" s="336"/>
      <c r="E88" s="30" t="s">
        <v>9</v>
      </c>
      <c r="F88" s="39" t="str">
        <f>'Rest Runsheet Food'!R58</f>
        <v>Toasted Chicken Paninis</v>
      </c>
      <c r="G88" s="39">
        <f>'Rest Runsheet Food'!S58</f>
        <v>0</v>
      </c>
      <c r="H88" s="4"/>
      <c r="I88" s="21"/>
    </row>
    <row r="89" spans="3:9" x14ac:dyDescent="0.3">
      <c r="C89" s="218"/>
      <c r="D89" s="337"/>
      <c r="E89" s="34" t="s">
        <v>1</v>
      </c>
      <c r="F89" s="39" t="str">
        <f>'Rest Runsheet Food'!R59</f>
        <v>Pulled Pork Nachos</v>
      </c>
      <c r="G89" s="39">
        <f>'Rest Runsheet Food'!S59</f>
        <v>0</v>
      </c>
      <c r="H89" s="4"/>
      <c r="I89" s="21"/>
    </row>
    <row r="90" spans="3:9" x14ac:dyDescent="0.3">
      <c r="C90" s="218"/>
      <c r="D90" s="19"/>
      <c r="E90" s="4"/>
      <c r="F90" s="4"/>
      <c r="G90" s="4"/>
      <c r="H90" s="4"/>
      <c r="I90" s="21"/>
    </row>
    <row r="91" spans="3:9" ht="16.2" thickBot="1" x14ac:dyDescent="0.35">
      <c r="C91" s="218"/>
      <c r="D91" s="133"/>
      <c r="E91" s="22"/>
      <c r="F91" s="22"/>
      <c r="G91" s="22"/>
      <c r="H91" s="22"/>
      <c r="I91" s="23"/>
    </row>
    <row r="92" spans="3:9" x14ac:dyDescent="0.3">
      <c r="C92" s="218"/>
    </row>
    <row r="93" spans="3:9" x14ac:dyDescent="0.3">
      <c r="C93" s="218"/>
    </row>
    <row r="94" spans="3:9" x14ac:dyDescent="0.3">
      <c r="C94" s="218"/>
    </row>
    <row r="95" spans="3:9" x14ac:dyDescent="0.3">
      <c r="C95" s="218"/>
    </row>
    <row r="96" spans="3:9" x14ac:dyDescent="0.3">
      <c r="C96" s="218"/>
    </row>
    <row r="97" spans="3:3" x14ac:dyDescent="0.3">
      <c r="C97" s="218"/>
    </row>
    <row r="98" spans="3:3" x14ac:dyDescent="0.3">
      <c r="C98" s="218"/>
    </row>
    <row r="99" spans="3:3" x14ac:dyDescent="0.3">
      <c r="C99" s="218"/>
    </row>
    <row r="100" spans="3:3" x14ac:dyDescent="0.3">
      <c r="C100" s="218"/>
    </row>
    <row r="101" spans="3:3" x14ac:dyDescent="0.3">
      <c r="C101" s="218"/>
    </row>
    <row r="102" spans="3:3" x14ac:dyDescent="0.3">
      <c r="C102" s="218"/>
    </row>
    <row r="103" spans="3:3" x14ac:dyDescent="0.3">
      <c r="C103" s="218"/>
    </row>
    <row r="104" spans="3:3" x14ac:dyDescent="0.3">
      <c r="C104" s="218"/>
    </row>
    <row r="105" spans="3:3" x14ac:dyDescent="0.3">
      <c r="C105" s="218"/>
    </row>
    <row r="106" spans="3:3" x14ac:dyDescent="0.3">
      <c r="C106" s="218"/>
    </row>
    <row r="107" spans="3:3" x14ac:dyDescent="0.3">
      <c r="C107" s="218"/>
    </row>
    <row r="108" spans="3:3" x14ac:dyDescent="0.3">
      <c r="C108" s="218"/>
    </row>
    <row r="109" spans="3:3" x14ac:dyDescent="0.3">
      <c r="C109" s="218"/>
    </row>
    <row r="110" spans="3:3" x14ac:dyDescent="0.3">
      <c r="C110" s="218"/>
    </row>
    <row r="111" spans="3:3" x14ac:dyDescent="0.3">
      <c r="C111" s="218"/>
    </row>
    <row r="112" spans="3:3" x14ac:dyDescent="0.3">
      <c r="C112" s="218"/>
    </row>
    <row r="113" spans="3:3" x14ac:dyDescent="0.3">
      <c r="C113" s="218"/>
    </row>
    <row r="114" spans="3:3" x14ac:dyDescent="0.3">
      <c r="C114" s="218"/>
    </row>
    <row r="115" spans="3:3" x14ac:dyDescent="0.3">
      <c r="C115" s="218"/>
    </row>
    <row r="116" spans="3:3" x14ac:dyDescent="0.3">
      <c r="C116" s="218"/>
    </row>
    <row r="117" spans="3:3" x14ac:dyDescent="0.3">
      <c r="C117" s="218"/>
    </row>
    <row r="118" spans="3:3" x14ac:dyDescent="0.3">
      <c r="C118" s="218"/>
    </row>
    <row r="119" spans="3:3" x14ac:dyDescent="0.3">
      <c r="C119" s="218"/>
    </row>
    <row r="120" spans="3:3" x14ac:dyDescent="0.3">
      <c r="C120" s="218"/>
    </row>
    <row r="121" spans="3:3" x14ac:dyDescent="0.3">
      <c r="C121" s="218"/>
    </row>
    <row r="122" spans="3:3" x14ac:dyDescent="0.3">
      <c r="C122" s="218"/>
    </row>
    <row r="123" spans="3:3" x14ac:dyDescent="0.3">
      <c r="C123" s="218"/>
    </row>
    <row r="124" spans="3:3" x14ac:dyDescent="0.3">
      <c r="C124" s="218"/>
    </row>
    <row r="125" spans="3:3" x14ac:dyDescent="0.3">
      <c r="C125" s="218"/>
    </row>
    <row r="126" spans="3:3" x14ac:dyDescent="0.3">
      <c r="C126" s="218"/>
    </row>
    <row r="127" spans="3:3" x14ac:dyDescent="0.3">
      <c r="C127" s="218"/>
    </row>
    <row r="128" spans="3:3" x14ac:dyDescent="0.3">
      <c r="C128" s="218"/>
    </row>
    <row r="129" spans="3:3" x14ac:dyDescent="0.3">
      <c r="C129" s="218"/>
    </row>
    <row r="130" spans="3:3" x14ac:dyDescent="0.3">
      <c r="C130" s="218"/>
    </row>
    <row r="131" spans="3:3" x14ac:dyDescent="0.3">
      <c r="C131" s="218"/>
    </row>
    <row r="132" spans="3:3" x14ac:dyDescent="0.3">
      <c r="C132" s="218"/>
    </row>
    <row r="133" spans="3:3" x14ac:dyDescent="0.3">
      <c r="C133" s="218"/>
    </row>
    <row r="134" spans="3:3" x14ac:dyDescent="0.3">
      <c r="C134" s="218"/>
    </row>
    <row r="135" spans="3:3" x14ac:dyDescent="0.3">
      <c r="C135" s="218"/>
    </row>
    <row r="136" spans="3:3" x14ac:dyDescent="0.3">
      <c r="C136" s="218"/>
    </row>
    <row r="137" spans="3:3" x14ac:dyDescent="0.3">
      <c r="C137" s="218"/>
    </row>
    <row r="138" spans="3:3" x14ac:dyDescent="0.3">
      <c r="C138" s="218"/>
    </row>
    <row r="139" spans="3:3" x14ac:dyDescent="0.3">
      <c r="C139" s="218"/>
    </row>
    <row r="140" spans="3:3" x14ac:dyDescent="0.3">
      <c r="C140" s="218"/>
    </row>
    <row r="141" spans="3:3" x14ac:dyDescent="0.3">
      <c r="C141" s="218"/>
    </row>
    <row r="142" spans="3:3" x14ac:dyDescent="0.3">
      <c r="C142" s="218"/>
    </row>
    <row r="143" spans="3:3" x14ac:dyDescent="0.3">
      <c r="C143" s="218"/>
    </row>
    <row r="144" spans="3:3" x14ac:dyDescent="0.3">
      <c r="C144" s="218"/>
    </row>
    <row r="145" spans="3:3" x14ac:dyDescent="0.3">
      <c r="C145" s="218"/>
    </row>
    <row r="146" spans="3:3" x14ac:dyDescent="0.3">
      <c r="C146" s="218"/>
    </row>
    <row r="147" spans="3:3" x14ac:dyDescent="0.3">
      <c r="C147" s="218"/>
    </row>
    <row r="148" spans="3:3" x14ac:dyDescent="0.3">
      <c r="C148" s="218"/>
    </row>
    <row r="149" spans="3:3" x14ac:dyDescent="0.3">
      <c r="C149" s="218"/>
    </row>
    <row r="150" spans="3:3" x14ac:dyDescent="0.3">
      <c r="C150" s="218"/>
    </row>
    <row r="151" spans="3:3" x14ac:dyDescent="0.3">
      <c r="C151" s="218"/>
    </row>
    <row r="152" spans="3:3" x14ac:dyDescent="0.3">
      <c r="C152" s="218"/>
    </row>
    <row r="153" spans="3:3" x14ac:dyDescent="0.3">
      <c r="C153" s="218"/>
    </row>
    <row r="154" spans="3:3" x14ac:dyDescent="0.3">
      <c r="C154" s="218"/>
    </row>
    <row r="155" spans="3:3" x14ac:dyDescent="0.3">
      <c r="C155" s="218"/>
    </row>
    <row r="156" spans="3:3" x14ac:dyDescent="0.3">
      <c r="C156" s="218"/>
    </row>
    <row r="157" spans="3:3" x14ac:dyDescent="0.3">
      <c r="C157" s="218"/>
    </row>
    <row r="158" spans="3:3" x14ac:dyDescent="0.3">
      <c r="C158" s="218"/>
    </row>
    <row r="159" spans="3:3" x14ac:dyDescent="0.3">
      <c r="C159" s="218"/>
    </row>
    <row r="160" spans="3:3" x14ac:dyDescent="0.3">
      <c r="C160" s="218"/>
    </row>
    <row r="161" spans="3:3" x14ac:dyDescent="0.3">
      <c r="C161" s="218"/>
    </row>
    <row r="162" spans="3:3" x14ac:dyDescent="0.3">
      <c r="C162" s="218"/>
    </row>
    <row r="163" spans="3:3" x14ac:dyDescent="0.3">
      <c r="C163" s="218"/>
    </row>
    <row r="164" spans="3:3" x14ac:dyDescent="0.3">
      <c r="C164" s="218"/>
    </row>
    <row r="165" spans="3:3" x14ac:dyDescent="0.3">
      <c r="C165" s="218"/>
    </row>
    <row r="166" spans="3:3" x14ac:dyDescent="0.3">
      <c r="C166" s="218"/>
    </row>
    <row r="167" spans="3:3" x14ac:dyDescent="0.3">
      <c r="C167" s="218"/>
    </row>
    <row r="168" spans="3:3" x14ac:dyDescent="0.3">
      <c r="C168" s="218"/>
    </row>
    <row r="169" spans="3:3" x14ac:dyDescent="0.3">
      <c r="C169" s="218"/>
    </row>
    <row r="170" spans="3:3" x14ac:dyDescent="0.3">
      <c r="C170" s="218"/>
    </row>
    <row r="171" spans="3:3" x14ac:dyDescent="0.3">
      <c r="C171" s="218"/>
    </row>
    <row r="172" spans="3:3" x14ac:dyDescent="0.3">
      <c r="C172" s="218"/>
    </row>
    <row r="173" spans="3:3" x14ac:dyDescent="0.3">
      <c r="C173" s="218"/>
    </row>
    <row r="174" spans="3:3" x14ac:dyDescent="0.3">
      <c r="C174" s="218"/>
    </row>
    <row r="175" spans="3:3" x14ac:dyDescent="0.3">
      <c r="C175" s="218"/>
    </row>
    <row r="176" spans="3:3" x14ac:dyDescent="0.3">
      <c r="C176" s="218"/>
    </row>
    <row r="177" spans="3:3" x14ac:dyDescent="0.3">
      <c r="C177" s="218"/>
    </row>
    <row r="178" spans="3:3" x14ac:dyDescent="0.3">
      <c r="C178" s="218"/>
    </row>
    <row r="179" spans="3:3" x14ac:dyDescent="0.3">
      <c r="C179" s="218"/>
    </row>
    <row r="180" spans="3:3" x14ac:dyDescent="0.3">
      <c r="C180" s="218"/>
    </row>
    <row r="181" spans="3:3" x14ac:dyDescent="0.3">
      <c r="C181" s="218"/>
    </row>
    <row r="182" spans="3:3" x14ac:dyDescent="0.3">
      <c r="C182" s="218"/>
    </row>
    <row r="183" spans="3:3" x14ac:dyDescent="0.3">
      <c r="C183" s="218"/>
    </row>
    <row r="184" spans="3:3" x14ac:dyDescent="0.3">
      <c r="C184" s="218"/>
    </row>
    <row r="185" spans="3:3" x14ac:dyDescent="0.3">
      <c r="C185" s="218"/>
    </row>
    <row r="186" spans="3:3" x14ac:dyDescent="0.3">
      <c r="C186" s="218"/>
    </row>
    <row r="187" spans="3:3" x14ac:dyDescent="0.3">
      <c r="C187" s="218"/>
    </row>
    <row r="188" spans="3:3" x14ac:dyDescent="0.3">
      <c r="C188" s="218"/>
    </row>
    <row r="189" spans="3:3" x14ac:dyDescent="0.3">
      <c r="C189" s="218"/>
    </row>
    <row r="190" spans="3:3" x14ac:dyDescent="0.3">
      <c r="C190" s="218"/>
    </row>
    <row r="191" spans="3:3" x14ac:dyDescent="0.3">
      <c r="C191" s="218"/>
    </row>
    <row r="192" spans="3:3" x14ac:dyDescent="0.3">
      <c r="C192" s="218"/>
    </row>
    <row r="193" spans="3:3" x14ac:dyDescent="0.3">
      <c r="C193" s="218"/>
    </row>
    <row r="194" spans="3:3" x14ac:dyDescent="0.3">
      <c r="C194" s="218"/>
    </row>
    <row r="195" spans="3:3" x14ac:dyDescent="0.3">
      <c r="C195" s="218"/>
    </row>
    <row r="196" spans="3:3" x14ac:dyDescent="0.3">
      <c r="C196" s="218"/>
    </row>
    <row r="197" spans="3:3" x14ac:dyDescent="0.3">
      <c r="C197" s="218"/>
    </row>
    <row r="198" spans="3:3" x14ac:dyDescent="0.3">
      <c r="C198" s="218"/>
    </row>
    <row r="199" spans="3:3" x14ac:dyDescent="0.3">
      <c r="C199" s="218"/>
    </row>
    <row r="200" spans="3:3" x14ac:dyDescent="0.3">
      <c r="C200" s="218"/>
    </row>
    <row r="201" spans="3:3" x14ac:dyDescent="0.3">
      <c r="C201" s="218"/>
    </row>
    <row r="202" spans="3:3" x14ac:dyDescent="0.3">
      <c r="C202" s="218"/>
    </row>
    <row r="203" spans="3:3" x14ac:dyDescent="0.3">
      <c r="C203" s="218"/>
    </row>
    <row r="204" spans="3:3" x14ac:dyDescent="0.3">
      <c r="C204" s="218"/>
    </row>
    <row r="205" spans="3:3" x14ac:dyDescent="0.3">
      <c r="C205" s="218"/>
    </row>
    <row r="206" spans="3:3" x14ac:dyDescent="0.3">
      <c r="C206" s="218"/>
    </row>
    <row r="207" spans="3:3" x14ac:dyDescent="0.3">
      <c r="C207" s="218"/>
    </row>
    <row r="208" spans="3:3" x14ac:dyDescent="0.3">
      <c r="C208" s="218"/>
    </row>
    <row r="209" spans="3:3" x14ac:dyDescent="0.3">
      <c r="C209" s="218"/>
    </row>
    <row r="210" spans="3:3" x14ac:dyDescent="0.3">
      <c r="C210" s="218"/>
    </row>
    <row r="211" spans="3:3" x14ac:dyDescent="0.3">
      <c r="C211" s="218"/>
    </row>
    <row r="212" spans="3:3" x14ac:dyDescent="0.3">
      <c r="C212" s="218"/>
    </row>
    <row r="213" spans="3:3" x14ac:dyDescent="0.3">
      <c r="C213" s="218"/>
    </row>
    <row r="214" spans="3:3" x14ac:dyDescent="0.3">
      <c r="C214" s="218"/>
    </row>
    <row r="215" spans="3:3" x14ac:dyDescent="0.3">
      <c r="C215" s="218"/>
    </row>
    <row r="216" spans="3:3" x14ac:dyDescent="0.3">
      <c r="C216" s="218"/>
    </row>
    <row r="217" spans="3:3" x14ac:dyDescent="0.3">
      <c r="C217" s="218"/>
    </row>
    <row r="218" spans="3:3" x14ac:dyDescent="0.3">
      <c r="C218" s="218"/>
    </row>
    <row r="219" spans="3:3" x14ac:dyDescent="0.3">
      <c r="C219" s="218"/>
    </row>
    <row r="220" spans="3:3" x14ac:dyDescent="0.3">
      <c r="C220" s="218"/>
    </row>
    <row r="221" spans="3:3" x14ac:dyDescent="0.3">
      <c r="C221" s="218"/>
    </row>
    <row r="222" spans="3:3" x14ac:dyDescent="0.3">
      <c r="C222" s="218"/>
    </row>
    <row r="223" spans="3:3" x14ac:dyDescent="0.3">
      <c r="C223" s="218"/>
    </row>
    <row r="224" spans="3:3" x14ac:dyDescent="0.3">
      <c r="C224" s="218"/>
    </row>
    <row r="225" spans="3:3" x14ac:dyDescent="0.3">
      <c r="C225" s="218"/>
    </row>
    <row r="226" spans="3:3" x14ac:dyDescent="0.3">
      <c r="C226" s="218"/>
    </row>
    <row r="227" spans="3:3" x14ac:dyDescent="0.3">
      <c r="C227" s="218"/>
    </row>
    <row r="228" spans="3:3" x14ac:dyDescent="0.3">
      <c r="C228" s="218"/>
    </row>
    <row r="229" spans="3:3" x14ac:dyDescent="0.3">
      <c r="C229" s="218"/>
    </row>
    <row r="230" spans="3:3" x14ac:dyDescent="0.3">
      <c r="C230" s="218"/>
    </row>
    <row r="231" spans="3:3" x14ac:dyDescent="0.3">
      <c r="C231" s="218"/>
    </row>
    <row r="232" spans="3:3" x14ac:dyDescent="0.3">
      <c r="C232" s="218"/>
    </row>
    <row r="233" spans="3:3" x14ac:dyDescent="0.3">
      <c r="C233" s="218"/>
    </row>
    <row r="234" spans="3:3" x14ac:dyDescent="0.3">
      <c r="C234" s="218"/>
    </row>
    <row r="235" spans="3:3" x14ac:dyDescent="0.3">
      <c r="C235" s="218"/>
    </row>
    <row r="236" spans="3:3" x14ac:dyDescent="0.3">
      <c r="C236" s="218"/>
    </row>
    <row r="237" spans="3:3" x14ac:dyDescent="0.3">
      <c r="C237" s="218"/>
    </row>
    <row r="238" spans="3:3" x14ac:dyDescent="0.3">
      <c r="C238" s="218"/>
    </row>
    <row r="239" spans="3:3" x14ac:dyDescent="0.3">
      <c r="C239" s="218"/>
    </row>
    <row r="240" spans="3:3" x14ac:dyDescent="0.3">
      <c r="C240" s="218"/>
    </row>
    <row r="241" spans="3:3" x14ac:dyDescent="0.3">
      <c r="C241" s="218"/>
    </row>
    <row r="242" spans="3:3" x14ac:dyDescent="0.3">
      <c r="C242" s="218"/>
    </row>
    <row r="243" spans="3:3" x14ac:dyDescent="0.3">
      <c r="C243" s="218"/>
    </row>
    <row r="244" spans="3:3" x14ac:dyDescent="0.3">
      <c r="C244" s="218"/>
    </row>
    <row r="245" spans="3:3" x14ac:dyDescent="0.3">
      <c r="C245" s="218"/>
    </row>
    <row r="246" spans="3:3" x14ac:dyDescent="0.3">
      <c r="C246" s="218"/>
    </row>
    <row r="247" spans="3:3" x14ac:dyDescent="0.3">
      <c r="C247" s="218"/>
    </row>
    <row r="248" spans="3:3" x14ac:dyDescent="0.3">
      <c r="C248" s="218"/>
    </row>
    <row r="249" spans="3:3" x14ac:dyDescent="0.3">
      <c r="C249" s="218"/>
    </row>
    <row r="250" spans="3:3" x14ac:dyDescent="0.3">
      <c r="C250" s="218"/>
    </row>
    <row r="251" spans="3:3" x14ac:dyDescent="0.3">
      <c r="C251" s="218"/>
    </row>
    <row r="252" spans="3:3" x14ac:dyDescent="0.3">
      <c r="C252" s="218"/>
    </row>
    <row r="253" spans="3:3" x14ac:dyDescent="0.3">
      <c r="C253" s="218"/>
    </row>
    <row r="254" spans="3:3" x14ac:dyDescent="0.3">
      <c r="C254" s="218"/>
    </row>
    <row r="255" spans="3:3" x14ac:dyDescent="0.3">
      <c r="C255" s="218"/>
    </row>
    <row r="256" spans="3:3" x14ac:dyDescent="0.3">
      <c r="C256" s="218"/>
    </row>
    <row r="257" spans="3:3" x14ac:dyDescent="0.3">
      <c r="C257" s="218"/>
    </row>
    <row r="258" spans="3:3" x14ac:dyDescent="0.3">
      <c r="C258" s="218"/>
    </row>
    <row r="259" spans="3:3" x14ac:dyDescent="0.3">
      <c r="C259" s="218"/>
    </row>
  </sheetData>
  <mergeCells count="47">
    <mergeCell ref="E1:G1"/>
    <mergeCell ref="E2:G2"/>
    <mergeCell ref="D4:I4"/>
    <mergeCell ref="D19:I19"/>
    <mergeCell ref="D27:I27"/>
    <mergeCell ref="D61:I61"/>
    <mergeCell ref="D45:D46"/>
    <mergeCell ref="E45:I46"/>
    <mergeCell ref="D47:D48"/>
    <mergeCell ref="E47:I48"/>
    <mergeCell ref="D49:D50"/>
    <mergeCell ref="E49:I50"/>
    <mergeCell ref="D41:D42"/>
    <mergeCell ref="B38:B39"/>
    <mergeCell ref="B2:B3"/>
    <mergeCell ref="B5:B6"/>
    <mergeCell ref="B8:B9"/>
    <mergeCell ref="B11:B12"/>
    <mergeCell ref="B14:B15"/>
    <mergeCell ref="D31:D32"/>
    <mergeCell ref="D33:D34"/>
    <mergeCell ref="D35:D36"/>
    <mergeCell ref="D37:D38"/>
    <mergeCell ref="D39:D40"/>
    <mergeCell ref="D29:D30"/>
    <mergeCell ref="B41:B42"/>
    <mergeCell ref="B17:B18"/>
    <mergeCell ref="B20:B21"/>
    <mergeCell ref="D43:I43"/>
    <mergeCell ref="B44:B45"/>
    <mergeCell ref="B47:B48"/>
    <mergeCell ref="B50:B51"/>
    <mergeCell ref="D57:I57"/>
    <mergeCell ref="D52:I52"/>
    <mergeCell ref="D53:I54"/>
    <mergeCell ref="D55:I56"/>
    <mergeCell ref="D72:D74"/>
    <mergeCell ref="D77:D79"/>
    <mergeCell ref="D82:D84"/>
    <mergeCell ref="D87:D89"/>
    <mergeCell ref="D62:D64"/>
    <mergeCell ref="D67:D69"/>
    <mergeCell ref="B23:B24"/>
    <mergeCell ref="B26:B27"/>
    <mergeCell ref="B29:B30"/>
    <mergeCell ref="B32:B33"/>
    <mergeCell ref="B35:B36"/>
  </mergeCells>
  <hyperlinks>
    <hyperlink ref="B2" location="Panel!C4" display="HOME" xr:uid="{AC063D8C-AC60-4FC1-96E3-1253EE601DA9}"/>
    <hyperlink ref="B5" location="Panel!C4" display="HOME" xr:uid="{A2C17F2D-7A3D-47C5-AC48-D06EE7B285FF}"/>
    <hyperlink ref="B17" location="Panel!C4" display="HOME" xr:uid="{1CFD4EA2-D4B5-40DA-AF5B-C65D24E5555D}"/>
    <hyperlink ref="B20" location="Panel!C4" display="HOME" xr:uid="{32D179C3-9276-4111-9AD7-38045C2BC274}"/>
    <hyperlink ref="B23" location="Panel!C4" display="HOME" xr:uid="{9CBC65BA-80BE-4E29-A48F-B52F537FEF01}"/>
    <hyperlink ref="B5:B6" location="data_formula_legend!A1" display="DATA" xr:uid="{F0152C61-FB68-484F-9D97-15EF75369857}"/>
    <hyperlink ref="B17:B18" location="day_1!A1" display="DAY 1" xr:uid="{2CA49FFE-2747-4AA5-A5C1-BC212D969C26}"/>
    <hyperlink ref="B8" location="Panel!C4" display="HOME" xr:uid="{8D76E90F-7A6F-4263-A627-8E7789AF3366}"/>
    <hyperlink ref="B8:B9" location="Runsheet!A1" display="RUNSHEET" xr:uid="{4B646BDA-1888-44DC-B136-763A43626E43}"/>
    <hyperlink ref="B20:B21" location="day_2!A1" display="DAY 2" xr:uid="{79039895-766E-48E8-B104-0971E8A9EE29}"/>
    <hyperlink ref="B23:B24" location="day_3!A1" display="DAY 3" xr:uid="{103FFADB-3184-443B-B68C-31F51725DA66}"/>
    <hyperlink ref="B2:B3" location="HOME!A1" display="HOME" xr:uid="{543C4D32-7B9E-4D30-9974-824BA4BAF2FE}"/>
    <hyperlink ref="B26" location="Panel!C4" display="HOME" xr:uid="{9527D1E8-9F39-4CA0-8D88-8D6937A3EF88}"/>
    <hyperlink ref="B26:B27" location="day_5!A1" display="DAY 4" xr:uid="{5661578B-BF34-4127-9929-36AA3258A7BD}"/>
    <hyperlink ref="B29" location="Panel!C4" display="HOME" xr:uid="{02DAF90C-10C6-43E7-8706-28115DAA5865}"/>
    <hyperlink ref="B29:B30" location="day_5!A1" display="DAY 5" xr:uid="{4924C4C9-3FF8-4A3A-A886-527E728F7647}"/>
    <hyperlink ref="B32" location="Panel!C4" display="HOME" xr:uid="{351185ED-DFB4-469A-99B1-0693E6903E7B}"/>
    <hyperlink ref="B32:B33" location="day_6!A1" display="DAY 6" xr:uid="{14AE0F03-EDB4-478B-97CC-7D1DC6A282C4}"/>
    <hyperlink ref="B14:B15" location="'Food Serves'!A1" display="FOOD SERVES" xr:uid="{88EBDC0D-422B-4F49-A963-744AE47979BF}"/>
    <hyperlink ref="B11:B12" location="'Rest Runsheet Food'!A1" display="RESTAURANT RUNSHEET" xr:uid="{BB7E449C-B30B-49B4-BEEB-88F8D8148CAB}"/>
    <hyperlink ref="B14" location="Panel!C4" display="HOME" xr:uid="{5C87494D-D831-4AF2-BF30-9D4A5372F1AF}"/>
    <hyperlink ref="B11" location="Panel!C4" display="HOME" xr:uid="{BEC6D9D2-3D12-4022-88C9-D98CB1A72E8E}"/>
    <hyperlink ref="B35" location="Panel!C4" display="HOME" xr:uid="{BC5A6AA7-AE42-42B6-9470-DCF4C3CF1C64}"/>
    <hyperlink ref="B35:B36" location="day_7!A1" display="DAY 7" xr:uid="{ADF62D1D-3B08-4FC9-899C-EF3C403813B8}"/>
    <hyperlink ref="B38" location="Panel!C4" display="HOME" xr:uid="{18DB0D73-1445-46E7-88BA-CD68A913A785}"/>
    <hyperlink ref="B38:B39" location="day_8!A1" display="DAY 8" xr:uid="{0F300735-A0A9-407D-B88A-07BEB9705CA1}"/>
    <hyperlink ref="B41" location="Panel!C4" display="HOME" xr:uid="{08AF5B5C-4DE6-4587-B727-79533D51398A}"/>
    <hyperlink ref="B41:B42" location="day_9!A1" display="DAY 9" xr:uid="{B5E0028A-0371-4817-A7D8-ABDF77D6B119}"/>
    <hyperlink ref="B44" location="Panel!C4" display="HOME" xr:uid="{CCC83F2F-18C9-4D24-A82D-510FFF413041}"/>
    <hyperlink ref="B44:B45" location="day_10!A1" display="DAY 10" xr:uid="{5FF54853-4F4A-4FD5-8058-9668BC0A290C}"/>
    <hyperlink ref="B47" location="Panel!C4" display="HOME" xr:uid="{6DD0C77C-A865-4DFE-9679-CF82D7A78496}"/>
    <hyperlink ref="B47:B48" location="day_11!A1" display="DAY 11" xr:uid="{7B1C239C-ED2F-4E3A-9A78-239ABD779023}"/>
    <hyperlink ref="B50" location="Panel!C4" display="HOME" xr:uid="{C8CCE5C3-EDA0-41F1-8118-EC02FA4D241F}"/>
    <hyperlink ref="B50:B51" location="day_12!A1" display="DAY 12" xr:uid="{FF8DC404-3DAC-49C8-AAA9-410AC69A63F7}"/>
  </hyperlinks>
  <pageMargins left="0.23622047244094491" right="0.23622047244094491" top="0.15748031496062992" bottom="0.15748031496062992" header="0" footer="0"/>
  <pageSetup paperSize="9" scale="55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8C0CC-F868-4E7B-893D-3BBF1BFC45EF}">
  <sheetPr codeName="Sheet16">
    <pageSetUpPr fitToPage="1"/>
  </sheetPr>
  <dimension ref="A1:I258"/>
  <sheetViews>
    <sheetView workbookViewId="0">
      <selection activeCell="B11" sqref="B11:B12"/>
    </sheetView>
  </sheetViews>
  <sheetFormatPr defaultRowHeight="15.6" x14ac:dyDescent="0.3"/>
  <cols>
    <col min="1" max="1" width="1.77734375" style="216" customWidth="1"/>
    <col min="2" max="2" width="14" style="217" bestFit="1" customWidth="1"/>
    <col min="3" max="3" width="1.77734375" style="216" customWidth="1"/>
    <col min="4" max="4" width="45.6640625" bestFit="1" customWidth="1"/>
    <col min="5" max="5" width="20.77734375" bestFit="1" customWidth="1"/>
    <col min="6" max="6" width="30.5546875" bestFit="1" customWidth="1"/>
    <col min="7" max="7" width="23.44140625" bestFit="1" customWidth="1"/>
    <col min="8" max="8" width="27.77734375" bestFit="1" customWidth="1"/>
    <col min="9" max="9" width="18.21875" bestFit="1" customWidth="1"/>
  </cols>
  <sheetData>
    <row r="1" spans="1:9" ht="16.2" thickBot="1" x14ac:dyDescent="0.35">
      <c r="A1" s="212"/>
      <c r="B1" s="213"/>
      <c r="C1" s="212"/>
      <c r="D1" s="16"/>
      <c r="E1" s="351" t="str">
        <f>Runsheet!BI7</f>
        <v>Day 8</v>
      </c>
      <c r="F1" s="351"/>
      <c r="G1" s="351"/>
      <c r="H1" s="17"/>
      <c r="I1" s="18"/>
    </row>
    <row r="2" spans="1:9" ht="15" customHeight="1" thickTop="1" x14ac:dyDescent="0.3">
      <c r="A2" s="212"/>
      <c r="B2" s="318" t="s">
        <v>264</v>
      </c>
      <c r="C2" s="212"/>
      <c r="D2" s="19"/>
      <c r="E2" s="352">
        <f>Runsheet!BI6</f>
        <v>44793</v>
      </c>
      <c r="F2" s="352"/>
      <c r="G2" s="352"/>
      <c r="H2" s="4"/>
      <c r="I2" s="21"/>
    </row>
    <row r="3" spans="1:9" ht="15" customHeight="1" thickBot="1" x14ac:dyDescent="0.35">
      <c r="A3" s="212"/>
      <c r="B3" s="319"/>
      <c r="C3" s="212"/>
      <c r="D3" s="19"/>
      <c r="E3" s="144"/>
      <c r="F3" s="144"/>
      <c r="G3" s="144"/>
      <c r="H3" s="4"/>
      <c r="I3" s="21"/>
    </row>
    <row r="4" spans="1:9" ht="16.8" thickTop="1" thickBot="1" x14ac:dyDescent="0.35">
      <c r="A4" s="212"/>
      <c r="B4" s="213"/>
      <c r="C4" s="212"/>
      <c r="D4" s="354" t="s">
        <v>179</v>
      </c>
      <c r="E4" s="355"/>
      <c r="F4" s="355"/>
      <c r="G4" s="355"/>
      <c r="H4" s="355"/>
      <c r="I4" s="356"/>
    </row>
    <row r="5" spans="1:9" ht="15" customHeight="1" thickTop="1" x14ac:dyDescent="0.3">
      <c r="A5" s="212"/>
      <c r="B5" s="320" t="s">
        <v>247</v>
      </c>
      <c r="C5" s="212"/>
      <c r="D5" s="136" t="s">
        <v>37</v>
      </c>
      <c r="E5" s="136" t="s">
        <v>190</v>
      </c>
      <c r="F5" s="136" t="s">
        <v>195</v>
      </c>
      <c r="G5" s="136" t="s">
        <v>200</v>
      </c>
      <c r="H5" s="4"/>
      <c r="I5" s="21"/>
    </row>
    <row r="6" spans="1:9" ht="15" customHeight="1" thickBot="1" x14ac:dyDescent="0.35">
      <c r="A6" s="212"/>
      <c r="B6" s="321"/>
      <c r="C6" s="212"/>
      <c r="D6" s="137" t="str">
        <f>guest_lists[[#This Row],[tour_type]]</f>
        <v>12 - DPCYT</v>
      </c>
      <c r="E6" s="137" t="str">
        <f>guest_lists[[#This Row],[guest_lists]]</f>
        <v>Penelope Lister</v>
      </c>
      <c r="F6" s="137" t="str">
        <f>guest_lists[[#This Row],[party]]</f>
        <v>party_1 G1</v>
      </c>
      <c r="G6" s="137" t="str">
        <f>guest_lists[[#This Row],[dietary_requirements2]]</f>
        <v>nil</v>
      </c>
      <c r="H6" s="4"/>
      <c r="I6" s="21"/>
    </row>
    <row r="7" spans="1:9" ht="16.8" thickTop="1" thickBot="1" x14ac:dyDescent="0.35">
      <c r="A7" s="214"/>
      <c r="B7" s="213"/>
      <c r="C7" s="214"/>
      <c r="D7" s="137" t="str">
        <f>guest_lists[[#This Row],[tour_type]]</f>
        <v>12 - DPCYT</v>
      </c>
      <c r="E7" s="137" t="str">
        <f>guest_lists[[#This Row],[guest_lists]]</f>
        <v>Gerald Lister</v>
      </c>
      <c r="F7" s="137" t="str">
        <f>guest_lists[[#This Row],[party]]</f>
        <v>party_1 G2</v>
      </c>
      <c r="G7" s="137" t="str">
        <f>guest_lists[[#This Row],[dietary_requirements2]]</f>
        <v>nil</v>
      </c>
      <c r="H7" s="4"/>
      <c r="I7" s="21"/>
    </row>
    <row r="8" spans="1:9" ht="15" customHeight="1" thickTop="1" x14ac:dyDescent="0.3">
      <c r="A8" s="212"/>
      <c r="B8" s="318" t="s">
        <v>265</v>
      </c>
      <c r="C8" s="212"/>
      <c r="D8" s="137" t="str">
        <f>guest_lists[[#This Row],[tour_type]]</f>
        <v>12 - DPCYT</v>
      </c>
      <c r="E8" s="137" t="str">
        <f>guest_lists[[#This Row],[guest_lists]]</f>
        <v>Denis Lister</v>
      </c>
      <c r="F8" s="137" t="str">
        <f>guest_lists[[#This Row],[party]]</f>
        <v>party_2 G1</v>
      </c>
      <c r="G8" s="137" t="str">
        <f>guest_lists[[#This Row],[dietary_requirements2]]</f>
        <v>nil</v>
      </c>
      <c r="H8" s="4"/>
      <c r="I8" s="21"/>
    </row>
    <row r="9" spans="1:9" ht="15" customHeight="1" thickBot="1" x14ac:dyDescent="0.35">
      <c r="A9" s="212"/>
      <c r="B9" s="319"/>
      <c r="C9" s="215"/>
      <c r="D9" s="137" t="str">
        <f>guest_lists[[#This Row],[tour_type]]</f>
        <v>12 - DSCYT</v>
      </c>
      <c r="E9" s="137" t="str">
        <f>guest_lists[[#This Row],[guest_lists]]</f>
        <v>Mark Morgan</v>
      </c>
      <c r="F9" s="137" t="str">
        <f>guest_lists[[#This Row],[party]]</f>
        <v>party_3 G1</v>
      </c>
      <c r="G9" s="137" t="str">
        <f>guest_lists[[#This Row],[dietary_requirements2]]</f>
        <v>nil</v>
      </c>
      <c r="H9" s="4"/>
      <c r="I9" s="21"/>
    </row>
    <row r="10" spans="1:9" ht="16.8" thickTop="1" thickBot="1" x14ac:dyDescent="0.35">
      <c r="A10" s="212"/>
      <c r="B10" s="213"/>
      <c r="C10" s="215"/>
      <c r="D10" s="137" t="str">
        <f>guest_lists[[#This Row],[tour_type]]</f>
        <v>12 - DSCYT</v>
      </c>
      <c r="E10" s="137" t="str">
        <f>guest_lists[[#This Row],[guest_lists]]</f>
        <v>Nicola Morgan</v>
      </c>
      <c r="F10" s="137" t="str">
        <f>guest_lists[[#This Row],[party]]</f>
        <v>party_3 G2</v>
      </c>
      <c r="G10" s="137" t="str">
        <f>guest_lists[[#This Row],[dietary_requirements2]]</f>
        <v>nil</v>
      </c>
      <c r="H10" s="4"/>
      <c r="I10" s="21"/>
    </row>
    <row r="11" spans="1:9" ht="15" customHeight="1" thickTop="1" x14ac:dyDescent="0.3">
      <c r="A11" s="212"/>
      <c r="B11" s="318" t="s">
        <v>511</v>
      </c>
      <c r="C11" s="215"/>
      <c r="D11" s="137" t="str">
        <f>guest_lists[[#This Row],[tour_type]]</f>
        <v>12 - DSCYT</v>
      </c>
      <c r="E11" s="137" t="str">
        <f>guest_lists[[#This Row],[guest_lists]]</f>
        <v>Joan Roberts</v>
      </c>
      <c r="F11" s="137" t="str">
        <f>guest_lists[[#This Row],[party]]</f>
        <v>party_4 G1</v>
      </c>
      <c r="G11" s="137" t="str">
        <f>guest_lists[[#This Row],[dietary_requirements2]]</f>
        <v>nil</v>
      </c>
      <c r="H11" s="4"/>
      <c r="I11" s="21"/>
    </row>
    <row r="12" spans="1:9" ht="15" customHeight="1" thickBot="1" x14ac:dyDescent="0.35">
      <c r="A12" s="212"/>
      <c r="B12" s="319"/>
      <c r="C12" s="215"/>
      <c r="D12" s="137" t="str">
        <f>guest_lists[[#This Row],[tour_type]]</f>
        <v>12 - DSCYT</v>
      </c>
      <c r="E12" s="137" t="str">
        <f>guest_lists[[#This Row],[guest_lists]]</f>
        <v>Valerie Mead</v>
      </c>
      <c r="F12" s="137" t="str">
        <f>guest_lists[[#This Row],[party]]</f>
        <v>party_4 G2</v>
      </c>
      <c r="G12" s="137" t="str">
        <f>guest_lists[[#This Row],[dietary_requirements2]]</f>
        <v>nil</v>
      </c>
      <c r="H12" s="128"/>
      <c r="I12" s="21"/>
    </row>
    <row r="13" spans="1:9" ht="16.8" thickTop="1" thickBot="1" x14ac:dyDescent="0.35">
      <c r="A13" s="212"/>
      <c r="B13" s="213"/>
      <c r="C13" s="215"/>
      <c r="D13" s="137" t="str">
        <f>guest_lists[[#This Row],[tour_type]]</f>
        <v>12 - DSCYT</v>
      </c>
      <c r="E13" s="137" t="str">
        <f>guest_lists[[#This Row],[guest_lists]]</f>
        <v>Ann Berriman</v>
      </c>
      <c r="F13" s="137" t="str">
        <f>guest_lists[[#This Row],[party]]</f>
        <v>party_5 G1</v>
      </c>
      <c r="G13" s="137" t="str">
        <f>guest_lists[[#This Row],[dietary_requirements2]]</f>
        <v>nil</v>
      </c>
      <c r="H13" s="128"/>
      <c r="I13" s="21"/>
    </row>
    <row r="14" spans="1:9" ht="15" customHeight="1" thickTop="1" x14ac:dyDescent="0.3">
      <c r="A14" s="212"/>
      <c r="B14" s="318" t="s">
        <v>512</v>
      </c>
      <c r="C14" s="215"/>
      <c r="D14" s="137" t="str">
        <f>guest_lists[[#This Row],[tour_type]]</f>
        <v>12 - DSCYT</v>
      </c>
      <c r="E14" s="137" t="str">
        <f>guest_lists[[#This Row],[guest_lists]]</f>
        <v>Wanda Drost</v>
      </c>
      <c r="F14" s="137" t="str">
        <f>guest_lists[[#This Row],[party]]</f>
        <v>party_5 G2</v>
      </c>
      <c r="G14" s="137" t="str">
        <f>guest_lists[[#This Row],[dietary_requirements2]]</f>
        <v>celiac</v>
      </c>
      <c r="H14" s="128"/>
      <c r="I14" s="21"/>
    </row>
    <row r="15" spans="1:9" ht="15" customHeight="1" thickBot="1" x14ac:dyDescent="0.35">
      <c r="A15" s="212"/>
      <c r="B15" s="319"/>
      <c r="C15" s="215"/>
      <c r="D15" s="137" t="str">
        <f>guest_lists[[#This Row],[tour_type]]</f>
        <v>5 - DTT</v>
      </c>
      <c r="E15" s="137" t="str">
        <f>guest_lists[[#This Row],[guest_lists]]</f>
        <v>Ian Neil</v>
      </c>
      <c r="F15" s="137" t="str">
        <f>guest_lists[[#This Row],[party]]</f>
        <v>party_6 G1</v>
      </c>
      <c r="G15" s="137" t="str">
        <f>guest_lists[[#This Row],[dietary_requirements2]]</f>
        <v>nil</v>
      </c>
      <c r="H15" s="4"/>
      <c r="I15" s="21"/>
    </row>
    <row r="16" spans="1:9" ht="16.8" thickTop="1" thickBot="1" x14ac:dyDescent="0.35">
      <c r="A16" s="212"/>
      <c r="B16" s="213"/>
      <c r="C16" s="215"/>
      <c r="D16" s="137" t="str">
        <f>guest_lists[[#This Row],[tour_type]]</f>
        <v>5 - DTT</v>
      </c>
      <c r="E16" s="137" t="str">
        <f>guest_lists[[#This Row],[guest_lists]]</f>
        <v>Graheme Fergueson</v>
      </c>
      <c r="F16" s="137" t="str">
        <f>guest_lists[[#This Row],[party]]</f>
        <v>party_6 G2</v>
      </c>
      <c r="G16" s="137" t="str">
        <f>guest_lists[[#This Row],[dietary_requirements2]]</f>
        <v>nil</v>
      </c>
      <c r="H16" s="4"/>
      <c r="I16" s="21"/>
    </row>
    <row r="17" spans="1:9" ht="15" thickTop="1" x14ac:dyDescent="0.3">
      <c r="A17" s="212"/>
      <c r="B17" s="318" t="s">
        <v>266</v>
      </c>
      <c r="C17" s="215"/>
      <c r="D17" s="137" t="str">
        <f>guest_lists[[#This Row],[tour_type]]</f>
        <v>9 - DPSYT</v>
      </c>
      <c r="E17" s="137" t="str">
        <f>guest_lists[[#This Row],[guest_lists]]</f>
        <v>Raewyn Brookie</v>
      </c>
      <c r="F17" s="137" t="str">
        <f>guest_lists[[#This Row],[party]]</f>
        <v>party_7 G1</v>
      </c>
      <c r="G17" s="137" t="str">
        <f>guest_lists[[#This Row],[dietary_requirements2]]</f>
        <v>nil</v>
      </c>
      <c r="H17" s="4"/>
      <c r="I17" s="21"/>
    </row>
    <row r="18" spans="1:9" ht="15" thickBot="1" x14ac:dyDescent="0.35">
      <c r="A18" s="212"/>
      <c r="B18" s="319"/>
      <c r="C18" s="215"/>
      <c r="D18" s="137" t="e">
        <f>guest_lists[[#This Row],[tour_type]]</f>
        <v>#VALUE!</v>
      </c>
      <c r="E18" s="137" t="e">
        <f>guest_lists[[#This Row],[guest_lists]]</f>
        <v>#VALUE!</v>
      </c>
      <c r="F18" s="137" t="e">
        <f>guest_lists[[#This Row],[party]]</f>
        <v>#VALUE!</v>
      </c>
      <c r="G18" s="137" t="e">
        <f>guest_lists[[#This Row],[dietary_requirements2]]</f>
        <v>#VALUE!</v>
      </c>
      <c r="H18" s="4"/>
      <c r="I18" s="21"/>
    </row>
    <row r="19" spans="1:9" ht="15" customHeight="1" thickTop="1" thickBot="1" x14ac:dyDescent="0.35">
      <c r="A19" s="212"/>
      <c r="B19" s="213"/>
      <c r="C19" s="215"/>
      <c r="D19" s="325" t="s">
        <v>33</v>
      </c>
      <c r="E19" s="326"/>
      <c r="F19" s="326"/>
      <c r="G19" s="326"/>
      <c r="H19" s="326"/>
      <c r="I19" s="327"/>
    </row>
    <row r="20" spans="1:9" ht="15" customHeight="1" thickTop="1" x14ac:dyDescent="0.3">
      <c r="A20" s="212"/>
      <c r="B20" s="318" t="s">
        <v>267</v>
      </c>
      <c r="C20" s="215"/>
      <c r="D20" s="129" t="str">
        <f>Runsheet!E8</f>
        <v>Accommodation Booked</v>
      </c>
      <c r="E20" s="73" t="str">
        <f>Runsheet!E9</f>
        <v>Accommodation Entity</v>
      </c>
      <c r="F20" s="73" t="str">
        <f>Runsheet!F9</f>
        <v>Address</v>
      </c>
      <c r="G20" s="73" t="str">
        <f>Runsheet!G9</f>
        <v>Number of rooms on hold</v>
      </c>
      <c r="H20" s="73" t="str">
        <f>Runsheet!H9</f>
        <v>Bedding Configuration Booked</v>
      </c>
      <c r="I20" s="130" t="str">
        <f>Runsheet!I9</f>
        <v>Contact Details</v>
      </c>
    </row>
    <row r="21" spans="1:9" ht="15" thickBot="1" x14ac:dyDescent="0.35">
      <c r="A21" s="212"/>
      <c r="B21" s="319"/>
      <c r="C21" s="215"/>
      <c r="D21" s="131" t="str">
        <f>Runsheet!D10</f>
        <v>Accommodation #1</v>
      </c>
      <c r="E21" s="61" t="str">
        <f>data_formula_legend!E110</f>
        <v>Bramwell Station</v>
      </c>
      <c r="F21" s="61" t="str">
        <f>data_formula_legend!F110</f>
        <v>Bramwell Jct, Shelburne QLD 4874</v>
      </c>
      <c r="G21" s="61">
        <f>data_formula_legend!G110</f>
        <v>7</v>
      </c>
      <c r="H21" s="61">
        <f>data_formula_legend!H110</f>
        <v>0</v>
      </c>
      <c r="I21" s="61" t="str">
        <f>data_formula_legend!I110</f>
        <v>07 4060 3230</v>
      </c>
    </row>
    <row r="22" spans="1:9" ht="15" customHeight="1" thickTop="1" thickBot="1" x14ac:dyDescent="0.35">
      <c r="A22" s="212"/>
      <c r="B22" s="213"/>
      <c r="C22" s="215"/>
      <c r="D22" s="131" t="str">
        <f>Runsheet!D11</f>
        <v>Accommodation #2</v>
      </c>
      <c r="E22" s="61" t="str">
        <f>data_formula_legend!E111</f>
        <v>A None</v>
      </c>
      <c r="F22" s="61">
        <f>data_formula_legend!F111</f>
        <v>0</v>
      </c>
      <c r="G22" s="61">
        <f>data_formula_legend!G111</f>
        <v>0</v>
      </c>
      <c r="H22" s="61">
        <f>data_formula_legend!H111</f>
        <v>0</v>
      </c>
      <c r="I22" s="61">
        <f>data_formula_legend!I111</f>
        <v>0</v>
      </c>
    </row>
    <row r="23" spans="1:9" ht="12.6" customHeight="1" thickTop="1" x14ac:dyDescent="0.3">
      <c r="A23" s="212"/>
      <c r="B23" s="318" t="s">
        <v>268</v>
      </c>
      <c r="C23" s="215"/>
      <c r="D23" s="131" t="str">
        <f>Runsheet!D12</f>
        <v>Accommodation #3</v>
      </c>
      <c r="E23" s="61" t="str">
        <f>data_formula_legend!E112</f>
        <v>A None</v>
      </c>
      <c r="F23" s="61">
        <f>data_formula_legend!F112</f>
        <v>0</v>
      </c>
      <c r="G23" s="61">
        <f>data_formula_legend!G112</f>
        <v>0</v>
      </c>
      <c r="H23" s="61">
        <f>data_formula_legend!H112</f>
        <v>0</v>
      </c>
      <c r="I23" s="61">
        <f>data_formula_legend!I112</f>
        <v>0</v>
      </c>
    </row>
    <row r="24" spans="1:9" ht="15" thickBot="1" x14ac:dyDescent="0.35">
      <c r="A24" s="212"/>
      <c r="B24" s="319"/>
      <c r="C24" s="215"/>
      <c r="D24" s="131" t="str">
        <f>Runsheet!D13</f>
        <v>Accommodation #4</v>
      </c>
      <c r="E24" s="61" t="str">
        <f>data_formula_legend!E113</f>
        <v>A None</v>
      </c>
      <c r="F24" s="61">
        <f>data_formula_legend!F113</f>
        <v>0</v>
      </c>
      <c r="G24" s="61">
        <f>data_formula_legend!G113</f>
        <v>0</v>
      </c>
      <c r="H24" s="61">
        <f>data_formula_legend!H113</f>
        <v>0</v>
      </c>
      <c r="I24" s="61">
        <f>data_formula_legend!I113</f>
        <v>0</v>
      </c>
    </row>
    <row r="25" spans="1:9" ht="15.6" customHeight="1" thickTop="1" thickBot="1" x14ac:dyDescent="0.35">
      <c r="A25" s="212"/>
      <c r="B25" s="213"/>
      <c r="C25" s="215"/>
      <c r="D25" s="19"/>
      <c r="E25" s="4"/>
      <c r="F25" s="20" t="str">
        <f>Runsheet!F14</f>
        <v xml:space="preserve">Total Accommodation </v>
      </c>
      <c r="G25" s="74">
        <f>Runsheet!AE14</f>
        <v>8</v>
      </c>
      <c r="H25" s="4"/>
      <c r="I25" s="21"/>
    </row>
    <row r="26" spans="1:9" ht="15.6" customHeight="1" thickTop="1" x14ac:dyDescent="0.3">
      <c r="A26" s="212"/>
      <c r="B26" s="318" t="s">
        <v>269</v>
      </c>
      <c r="C26" s="215"/>
      <c r="D26" s="19"/>
      <c r="E26" s="4"/>
      <c r="F26" s="4"/>
      <c r="G26" s="4"/>
      <c r="H26" s="4"/>
      <c r="I26" s="21"/>
    </row>
    <row r="27" spans="1:9" ht="15" thickBot="1" x14ac:dyDescent="0.35">
      <c r="A27" s="212"/>
      <c r="B27" s="319"/>
      <c r="C27" s="215"/>
      <c r="D27" s="325" t="str">
        <f>Runsheet!D15</f>
        <v>Guests Accommodation</v>
      </c>
      <c r="E27" s="326"/>
      <c r="F27" s="326"/>
      <c r="G27" s="326"/>
      <c r="H27" s="326"/>
      <c r="I27" s="327"/>
    </row>
    <row r="28" spans="1:9" ht="15" customHeight="1" thickTop="1" thickBot="1" x14ac:dyDescent="0.35">
      <c r="A28" s="212"/>
      <c r="B28" s="213"/>
      <c r="C28" s="215"/>
      <c r="D28" s="100" t="s">
        <v>195</v>
      </c>
      <c r="E28" s="76" t="s">
        <v>36</v>
      </c>
      <c r="F28" s="72" t="s">
        <v>33</v>
      </c>
      <c r="G28" s="20" t="s">
        <v>161</v>
      </c>
      <c r="H28" s="20" t="s">
        <v>186</v>
      </c>
      <c r="I28" s="48" t="s">
        <v>189</v>
      </c>
    </row>
    <row r="29" spans="1:9" ht="15" customHeight="1" thickTop="1" x14ac:dyDescent="0.3">
      <c r="A29" s="212"/>
      <c r="B29" s="318" t="s">
        <v>270</v>
      </c>
      <c r="C29" s="215"/>
      <c r="D29" s="353" t="str">
        <f>Runsheet!D17</f>
        <v>Party 1</v>
      </c>
      <c r="E29" s="65" t="str">
        <f>Runsheet!E17</f>
        <v>Penelope Lister</v>
      </c>
      <c r="F29" s="65" t="str">
        <f>Runsheet!BK17</f>
        <v>Bramwell Station</v>
      </c>
      <c r="G29" s="65" t="str">
        <f>Runsheet!BL17</f>
        <v>double</v>
      </c>
      <c r="H29" s="65">
        <f>Runsheet!BM17</f>
        <v>0</v>
      </c>
      <c r="I29" s="314" t="str">
        <f>Runsheet!BN17</f>
        <v>1x Ensuite Room (1)</v>
      </c>
    </row>
    <row r="30" spans="1:9" ht="15" thickBot="1" x14ac:dyDescent="0.35">
      <c r="A30" s="212"/>
      <c r="B30" s="319"/>
      <c r="C30" s="215"/>
      <c r="D30" s="353"/>
      <c r="E30" s="65" t="str">
        <f>Runsheet!E18</f>
        <v>Gerald Lister</v>
      </c>
      <c r="F30" s="65" t="str">
        <f>Runsheet!BK18</f>
        <v>Bramwell Station</v>
      </c>
      <c r="G30" s="65" t="str">
        <f>Runsheet!BL18</f>
        <v>double</v>
      </c>
      <c r="H30" s="65">
        <f>Runsheet!BM18</f>
        <v>0</v>
      </c>
      <c r="I30" s="314" t="str">
        <f>Runsheet!BN18</f>
        <v>1x Ensuite Room (1)</v>
      </c>
    </row>
    <row r="31" spans="1:9" ht="15" customHeight="1" thickTop="1" thickBot="1" x14ac:dyDescent="0.35">
      <c r="A31" s="212"/>
      <c r="B31" s="213"/>
      <c r="C31" s="215"/>
      <c r="D31" s="353" t="str">
        <f>Runsheet!D19</f>
        <v>Party 2</v>
      </c>
      <c r="E31" s="65" t="str">
        <f>Runsheet!E19</f>
        <v>Denis Lister</v>
      </c>
      <c r="F31" s="65" t="str">
        <f>Runsheet!BK19</f>
        <v>Bramwell Station</v>
      </c>
      <c r="G31" s="65" t="str">
        <f>Runsheet!BL19</f>
        <v>double</v>
      </c>
      <c r="H31" s="65">
        <f>Runsheet!BM19</f>
        <v>0</v>
      </c>
      <c r="I31" s="314" t="str">
        <f>Runsheet!BN19</f>
        <v>1x Ensuite Room (1)</v>
      </c>
    </row>
    <row r="32" spans="1:9" ht="15" customHeight="1" thickTop="1" x14ac:dyDescent="0.3">
      <c r="A32" s="212"/>
      <c r="B32" s="318" t="s">
        <v>271</v>
      </c>
      <c r="C32" s="215"/>
      <c r="D32" s="353"/>
      <c r="E32" s="65" t="e">
        <f>Runsheet!E20</f>
        <v>#N/A</v>
      </c>
      <c r="F32" s="65">
        <f>Runsheet!BK20</f>
        <v>0</v>
      </c>
      <c r="G32" s="65">
        <f>Runsheet!BL20</f>
        <v>0</v>
      </c>
      <c r="H32" s="65">
        <f>Runsheet!BM20</f>
        <v>0</v>
      </c>
      <c r="I32" s="314" t="str">
        <f>Runsheet!BN20</f>
        <v>1x Ensuite Room (1)</v>
      </c>
    </row>
    <row r="33" spans="1:9" ht="15" thickBot="1" x14ac:dyDescent="0.35">
      <c r="A33" s="212"/>
      <c r="B33" s="319"/>
      <c r="C33" s="215"/>
      <c r="D33" s="353" t="str">
        <f>Runsheet!D21</f>
        <v>Party 3</v>
      </c>
      <c r="E33" s="65" t="str">
        <f>Runsheet!E21</f>
        <v>Mark Morgan</v>
      </c>
      <c r="F33" s="65" t="str">
        <f>Runsheet!BK21</f>
        <v>Bramwell Station</v>
      </c>
      <c r="G33" s="65" t="str">
        <f>Runsheet!BL21</f>
        <v>double</v>
      </c>
      <c r="H33" s="65">
        <f>Runsheet!BM21</f>
        <v>0</v>
      </c>
      <c r="I33" s="314" t="str">
        <f>Runsheet!BN21</f>
        <v>1x Ensuite Room (1)</v>
      </c>
    </row>
    <row r="34" spans="1:9" ht="15" customHeight="1" thickTop="1" thickBot="1" x14ac:dyDescent="0.35">
      <c r="A34" s="212"/>
      <c r="B34" s="213"/>
      <c r="C34" s="215"/>
      <c r="D34" s="353"/>
      <c r="E34" s="65" t="str">
        <f>Runsheet!E22</f>
        <v>Nicola Morgan</v>
      </c>
      <c r="F34" s="65" t="str">
        <f>Runsheet!BK22</f>
        <v>Bramwell Station</v>
      </c>
      <c r="G34" s="65" t="str">
        <f>Runsheet!BL22</f>
        <v>double</v>
      </c>
      <c r="H34" s="65">
        <f>Runsheet!BM22</f>
        <v>0</v>
      </c>
      <c r="I34" s="314" t="str">
        <f>Runsheet!BN22</f>
        <v>1x Ensuite Room (1)</v>
      </c>
    </row>
    <row r="35" spans="1:9" ht="15" customHeight="1" thickTop="1" x14ac:dyDescent="0.3">
      <c r="A35" s="212"/>
      <c r="B35" s="318" t="s">
        <v>272</v>
      </c>
      <c r="C35" s="215"/>
      <c r="D35" s="353" t="str">
        <f>Runsheet!D23</f>
        <v>Party 4</v>
      </c>
      <c r="E35" s="65" t="str">
        <f>Runsheet!E23</f>
        <v>Joan Roberts</v>
      </c>
      <c r="F35" s="65" t="str">
        <f>Runsheet!BK23</f>
        <v>Bramwell Station</v>
      </c>
      <c r="G35" s="65" t="str">
        <f>Runsheet!BL23</f>
        <v>double</v>
      </c>
      <c r="H35" s="65">
        <f>Runsheet!BM23</f>
        <v>0</v>
      </c>
      <c r="I35" s="314" t="str">
        <f>Runsheet!BN23</f>
        <v>1x Ensuite Room (1)</v>
      </c>
    </row>
    <row r="36" spans="1:9" ht="15" thickBot="1" x14ac:dyDescent="0.35">
      <c r="A36" s="212"/>
      <c r="B36" s="319"/>
      <c r="C36" s="215"/>
      <c r="D36" s="353"/>
      <c r="E36" s="65" t="str">
        <f>Runsheet!E24</f>
        <v>Valerie Mead</v>
      </c>
      <c r="F36" s="65" t="str">
        <f>Runsheet!BK24</f>
        <v>Bramwell Station</v>
      </c>
      <c r="G36" s="65" t="str">
        <f>Runsheet!BL24</f>
        <v>double</v>
      </c>
      <c r="H36" s="65">
        <f>Runsheet!BM24</f>
        <v>0</v>
      </c>
      <c r="I36" s="314" t="str">
        <f>Runsheet!BN24</f>
        <v>1x Ensuite Room (1)</v>
      </c>
    </row>
    <row r="37" spans="1:9" ht="15" customHeight="1" thickTop="1" thickBot="1" x14ac:dyDescent="0.35">
      <c r="A37" s="212"/>
      <c r="B37" s="213"/>
      <c r="C37" s="215"/>
      <c r="D37" s="353" t="str">
        <f>Runsheet!D25</f>
        <v>Party 5</v>
      </c>
      <c r="E37" s="65" t="str">
        <f>Runsheet!E25</f>
        <v>Ann Berriman</v>
      </c>
      <c r="F37" s="65" t="str">
        <f>Runsheet!BK25</f>
        <v>Bramwell Station</v>
      </c>
      <c r="G37" s="65" t="str">
        <f>Runsheet!BL25</f>
        <v>double</v>
      </c>
      <c r="H37" s="65">
        <f>Runsheet!BM25</f>
        <v>0</v>
      </c>
      <c r="I37" s="314" t="str">
        <f>Runsheet!BN25</f>
        <v>1x Ensuite Room (1)</v>
      </c>
    </row>
    <row r="38" spans="1:9" ht="15" customHeight="1" thickTop="1" x14ac:dyDescent="0.3">
      <c r="A38" s="212"/>
      <c r="B38" s="318" t="s">
        <v>273</v>
      </c>
      <c r="C38" s="215"/>
      <c r="D38" s="353"/>
      <c r="E38" s="65" t="str">
        <f>Runsheet!E26</f>
        <v>Wanda Drost</v>
      </c>
      <c r="F38" s="65" t="str">
        <f>Runsheet!BK26</f>
        <v>Bramwell Station</v>
      </c>
      <c r="G38" s="65" t="str">
        <f>Runsheet!BL26</f>
        <v>double</v>
      </c>
      <c r="H38" s="65">
        <f>Runsheet!BM26</f>
        <v>0</v>
      </c>
      <c r="I38" s="314" t="str">
        <f>Runsheet!BN26</f>
        <v>1x Ensuite Room (1)</v>
      </c>
    </row>
    <row r="39" spans="1:9" ht="15" thickBot="1" x14ac:dyDescent="0.35">
      <c r="A39" s="212"/>
      <c r="B39" s="319"/>
      <c r="C39" s="215"/>
      <c r="D39" s="353" t="str">
        <f>Runsheet!D27</f>
        <v>Party 6</v>
      </c>
      <c r="E39" s="65" t="str">
        <f>Runsheet!E27</f>
        <v>Ian Neil</v>
      </c>
      <c r="F39" s="65">
        <f>Runsheet!BK27</f>
        <v>0</v>
      </c>
      <c r="G39" s="65">
        <f>Runsheet!BL27</f>
        <v>0</v>
      </c>
      <c r="H39" s="65">
        <f>Runsheet!BM27</f>
        <v>0</v>
      </c>
      <c r="I39" s="314">
        <f>Runsheet!BN27</f>
        <v>0</v>
      </c>
    </row>
    <row r="40" spans="1:9" ht="15" customHeight="1" thickTop="1" thickBot="1" x14ac:dyDescent="0.35">
      <c r="A40" s="212"/>
      <c r="B40" s="213"/>
      <c r="C40" s="215"/>
      <c r="D40" s="353"/>
      <c r="E40" s="65" t="str">
        <f>Runsheet!E28</f>
        <v>Graheme Fergueson</v>
      </c>
      <c r="F40" s="65">
        <f>Runsheet!BK28</f>
        <v>0</v>
      </c>
      <c r="G40" s="65">
        <f>Runsheet!BL28</f>
        <v>0</v>
      </c>
      <c r="H40" s="65">
        <f>Runsheet!BM28</f>
        <v>0</v>
      </c>
      <c r="I40" s="314">
        <f>Runsheet!BN28</f>
        <v>0</v>
      </c>
    </row>
    <row r="41" spans="1:9" ht="14.4" customHeight="1" thickTop="1" x14ac:dyDescent="0.3">
      <c r="A41" s="212"/>
      <c r="B41" s="318" t="s">
        <v>274</v>
      </c>
      <c r="C41" s="215"/>
      <c r="D41" s="353" t="str">
        <f>Runsheet!D29</f>
        <v>Party 7</v>
      </c>
      <c r="E41" s="65" t="str">
        <f>Runsheet!E29</f>
        <v>Raewyn Brookie</v>
      </c>
      <c r="F41" s="65" t="str">
        <f>Runsheet!BK29</f>
        <v>Bramwell Station</v>
      </c>
      <c r="G41" s="65" t="str">
        <f>Runsheet!BL29</f>
        <v>double</v>
      </c>
      <c r="H41" s="65">
        <f>Runsheet!BM29</f>
        <v>0</v>
      </c>
      <c r="I41" s="314" t="str">
        <f>Runsheet!BN29</f>
        <v>1x Ensuite Room (1)</v>
      </c>
    </row>
    <row r="42" spans="1:9" ht="15" customHeight="1" thickBot="1" x14ac:dyDescent="0.35">
      <c r="A42" s="212"/>
      <c r="B42" s="319"/>
      <c r="C42" s="215"/>
      <c r="D42" s="353"/>
      <c r="E42" s="65" t="e">
        <f>Runsheet!E30</f>
        <v>#N/A</v>
      </c>
      <c r="F42" s="65">
        <f>Runsheet!BK30</f>
        <v>0</v>
      </c>
      <c r="G42" s="65">
        <f>Runsheet!BL30</f>
        <v>0</v>
      </c>
      <c r="H42" s="65">
        <f>Runsheet!BM30</f>
        <v>0</v>
      </c>
      <c r="I42" s="314">
        <f>Runsheet!BN30</f>
        <v>0</v>
      </c>
    </row>
    <row r="43" spans="1:9" ht="16.8" thickTop="1" thickBot="1" x14ac:dyDescent="0.35">
      <c r="A43" s="212"/>
      <c r="B43" s="213"/>
      <c r="C43" s="215"/>
      <c r="D43" s="325" t="str">
        <f>Runsheet!D36</f>
        <v>Dinning Arrangements</v>
      </c>
      <c r="E43" s="326"/>
      <c r="F43" s="326"/>
      <c r="G43" s="326"/>
      <c r="H43" s="326"/>
      <c r="I43" s="327"/>
    </row>
    <row r="44" spans="1:9" ht="15" customHeight="1" thickTop="1" x14ac:dyDescent="0.3">
      <c r="A44" s="212"/>
      <c r="B44" s="318" t="s">
        <v>275</v>
      </c>
      <c r="C44" s="215"/>
      <c r="D44" s="19"/>
      <c r="E44" s="4"/>
      <c r="F44" s="4"/>
      <c r="G44" s="4"/>
      <c r="H44" s="4"/>
      <c r="I44" s="21"/>
    </row>
    <row r="45" spans="1:9" ht="15" customHeight="1" thickBot="1" x14ac:dyDescent="0.35">
      <c r="A45" s="212"/>
      <c r="B45" s="319"/>
      <c r="C45" s="215"/>
      <c r="D45" s="328" t="str">
        <f>Runsheet!D37</f>
        <v xml:space="preserve">Breakfast </v>
      </c>
      <c r="E45" s="329" t="str">
        <f>Runsheet!BI37</f>
        <v>must cook breakfast</v>
      </c>
      <c r="F45" s="330"/>
      <c r="G45" s="330"/>
      <c r="H45" s="330"/>
      <c r="I45" s="331"/>
    </row>
    <row r="46" spans="1:9" ht="16.8" thickTop="1" thickBot="1" x14ac:dyDescent="0.35">
      <c r="A46" s="212"/>
      <c r="B46" s="213"/>
      <c r="C46" s="215"/>
      <c r="D46" s="328"/>
      <c r="E46" s="332"/>
      <c r="F46" s="333"/>
      <c r="G46" s="333"/>
      <c r="H46" s="333"/>
      <c r="I46" s="334"/>
    </row>
    <row r="47" spans="1:9" ht="57.6" customHeight="1" thickTop="1" x14ac:dyDescent="0.3">
      <c r="A47" s="212"/>
      <c r="B47" s="318" t="s">
        <v>276</v>
      </c>
      <c r="C47" s="215"/>
      <c r="D47" s="328" t="str">
        <f>Runsheet!D39</f>
        <v xml:space="preserve">Lunch </v>
      </c>
      <c r="E47" s="329" t="str">
        <f>Runsheet!BI39</f>
        <v>must cook lunch</v>
      </c>
      <c r="F47" s="330"/>
      <c r="G47" s="330"/>
      <c r="H47" s="330"/>
      <c r="I47" s="331"/>
    </row>
    <row r="48" spans="1:9" ht="15" customHeight="1" thickBot="1" x14ac:dyDescent="0.35">
      <c r="A48" s="212"/>
      <c r="B48" s="319"/>
      <c r="C48" s="215"/>
      <c r="D48" s="328"/>
      <c r="E48" s="332"/>
      <c r="F48" s="333"/>
      <c r="G48" s="333"/>
      <c r="H48" s="333"/>
      <c r="I48" s="334"/>
    </row>
    <row r="49" spans="1:9" ht="28.8" customHeight="1" thickTop="1" thickBot="1" x14ac:dyDescent="0.35">
      <c r="A49" s="212"/>
      <c r="B49" s="213"/>
      <c r="C49" s="215"/>
      <c r="D49" s="328" t="str">
        <f>Runsheet!D41</f>
        <v xml:space="preserve">Dinner </v>
      </c>
      <c r="E49" s="329" t="str">
        <f>Runsheet!BI41</f>
        <v>must cook dinner</v>
      </c>
      <c r="F49" s="330"/>
      <c r="G49" s="330"/>
      <c r="H49" s="330"/>
      <c r="I49" s="331"/>
    </row>
    <row r="50" spans="1:9" ht="15" customHeight="1" thickTop="1" x14ac:dyDescent="0.3">
      <c r="A50" s="212"/>
      <c r="B50" s="318" t="s">
        <v>277</v>
      </c>
      <c r="C50" s="215"/>
      <c r="D50" s="328"/>
      <c r="E50" s="332"/>
      <c r="F50" s="333"/>
      <c r="G50" s="333"/>
      <c r="H50" s="333"/>
      <c r="I50" s="334"/>
    </row>
    <row r="51" spans="1:9" ht="15" customHeight="1" thickBot="1" x14ac:dyDescent="0.35">
      <c r="A51" s="212"/>
      <c r="B51" s="319"/>
      <c r="C51" s="215"/>
      <c r="D51" s="134"/>
      <c r="E51" s="142"/>
      <c r="F51" s="142"/>
      <c r="G51" s="142"/>
      <c r="H51" s="142"/>
      <c r="I51" s="143"/>
    </row>
    <row r="52" spans="1:9" ht="16.2" thickTop="1" x14ac:dyDescent="0.3">
      <c r="A52" s="212"/>
      <c r="B52" s="213"/>
      <c r="C52" s="215"/>
      <c r="D52" s="325" t="s">
        <v>210</v>
      </c>
      <c r="E52" s="326"/>
      <c r="F52" s="326"/>
      <c r="G52" s="326"/>
      <c r="H52" s="326"/>
      <c r="I52" s="327"/>
    </row>
    <row r="53" spans="1:9" ht="15" customHeight="1" x14ac:dyDescent="0.3">
      <c r="A53" s="212"/>
      <c r="B53" s="213"/>
      <c r="C53" s="215"/>
      <c r="D53" s="360" t="str">
        <f>Runsheet!BH44</f>
        <v xml:space="preserve">Free Station Talk @ 6.30pm at Bramwell, followed by Live Entertainment </v>
      </c>
      <c r="E53" s="360"/>
      <c r="F53" s="360"/>
      <c r="G53" s="360"/>
      <c r="H53" s="360"/>
      <c r="I53" s="360"/>
    </row>
    <row r="54" spans="1:9" ht="15" customHeight="1" x14ac:dyDescent="0.3">
      <c r="A54" s="212"/>
      <c r="B54" s="231"/>
      <c r="C54" s="215"/>
      <c r="D54" s="360"/>
      <c r="E54" s="360"/>
      <c r="F54" s="360"/>
      <c r="G54" s="360"/>
      <c r="H54" s="360"/>
      <c r="I54" s="360"/>
    </row>
    <row r="55" spans="1:9" x14ac:dyDescent="0.3">
      <c r="A55" s="212"/>
      <c r="B55" s="231"/>
      <c r="C55" s="215"/>
      <c r="D55" s="360">
        <f>Runsheet!BH45</f>
        <v>0</v>
      </c>
      <c r="E55" s="360"/>
      <c r="F55" s="360"/>
      <c r="G55" s="360"/>
      <c r="H55" s="360"/>
      <c r="I55" s="360"/>
    </row>
    <row r="56" spans="1:9" x14ac:dyDescent="0.3">
      <c r="A56" s="212"/>
      <c r="B56" s="213"/>
      <c r="C56" s="215"/>
      <c r="D56" s="360"/>
      <c r="E56" s="360"/>
      <c r="F56" s="360"/>
      <c r="G56" s="360"/>
      <c r="H56" s="360"/>
      <c r="I56" s="360"/>
    </row>
    <row r="57" spans="1:9" x14ac:dyDescent="0.3">
      <c r="A57" s="212"/>
      <c r="B57" s="213"/>
      <c r="C57" s="215"/>
      <c r="D57" s="325" t="s">
        <v>366</v>
      </c>
      <c r="E57" s="326"/>
      <c r="F57" s="326"/>
      <c r="G57" s="326"/>
      <c r="H57" s="326"/>
      <c r="I57" s="327"/>
    </row>
    <row r="58" spans="1:9" ht="28.8" x14ac:dyDescent="0.3">
      <c r="A58" s="212"/>
      <c r="B58" s="213"/>
      <c r="C58" s="215"/>
      <c r="D58" s="232"/>
      <c r="E58" s="242" t="str" cm="1">
        <f t="array" ref="E58:H58">day_8_itinerary_highlights[]</f>
        <v>Moreton Telegraph Station</v>
      </c>
      <c r="F58" s="138">
        <v>0</v>
      </c>
      <c r="G58" s="138">
        <v>0</v>
      </c>
      <c r="H58" s="138">
        <v>0</v>
      </c>
      <c r="I58" s="233"/>
    </row>
    <row r="59" spans="1:9" x14ac:dyDescent="0.3">
      <c r="A59" s="212"/>
      <c r="B59" s="213"/>
      <c r="C59" s="215"/>
      <c r="D59" s="234"/>
      <c r="E59" s="235"/>
      <c r="F59" s="235"/>
      <c r="G59" s="235"/>
      <c r="H59" s="235"/>
      <c r="I59" s="236"/>
    </row>
    <row r="60" spans="1:9" x14ac:dyDescent="0.3">
      <c r="A60" s="212"/>
      <c r="B60" s="213"/>
      <c r="C60" s="215"/>
      <c r="D60" s="325" t="s">
        <v>209</v>
      </c>
      <c r="E60" s="326"/>
      <c r="F60" s="326"/>
      <c r="G60" s="326"/>
      <c r="H60" s="326"/>
      <c r="I60" s="327"/>
    </row>
    <row r="61" spans="1:9" x14ac:dyDescent="0.3">
      <c r="A61" s="212"/>
      <c r="B61" s="213"/>
      <c r="C61" s="215"/>
      <c r="D61" s="359" t="s">
        <v>97</v>
      </c>
      <c r="E61" s="33" t="s">
        <v>11</v>
      </c>
      <c r="F61" s="39" t="str">
        <f>'Rest Runsheet Food'!T10</f>
        <v>Continental</v>
      </c>
      <c r="G61" s="39">
        <f>'Rest Runsheet Food'!U10</f>
        <v>11</v>
      </c>
      <c r="H61" s="4"/>
      <c r="I61" s="21"/>
    </row>
    <row r="62" spans="1:9" x14ac:dyDescent="0.3">
      <c r="A62" s="212"/>
      <c r="B62" s="213"/>
      <c r="C62" s="215"/>
      <c r="D62" s="339"/>
      <c r="E62" s="30" t="s">
        <v>9</v>
      </c>
      <c r="F62" s="39" t="str">
        <f>'Rest Runsheet Food'!T11</f>
        <v>chickpea curry</v>
      </c>
      <c r="G62" s="39">
        <f>'Rest Runsheet Food'!U11</f>
        <v>11</v>
      </c>
      <c r="H62" s="4"/>
      <c r="I62" s="21"/>
    </row>
    <row r="63" spans="1:9" x14ac:dyDescent="0.3">
      <c r="A63" s="212"/>
      <c r="B63" s="213"/>
      <c r="C63" s="215"/>
      <c r="D63" s="340"/>
      <c r="E63" s="34" t="s">
        <v>1</v>
      </c>
      <c r="F63" s="39" t="str">
        <f>'Rest Runsheet Food'!T12</f>
        <v>Spaghetti Bolognese</v>
      </c>
      <c r="G63" s="39">
        <f>'Rest Runsheet Food'!U12</f>
        <v>11</v>
      </c>
      <c r="H63" s="4"/>
      <c r="I63" s="21"/>
    </row>
    <row r="64" spans="1:9" x14ac:dyDescent="0.3">
      <c r="A64" s="212"/>
      <c r="B64" s="213"/>
      <c r="C64" s="215"/>
      <c r="D64" s="19"/>
      <c r="E64" s="4"/>
      <c r="F64" s="4"/>
      <c r="G64" s="4"/>
      <c r="H64" s="4"/>
      <c r="I64" s="21"/>
    </row>
    <row r="65" spans="1:9" x14ac:dyDescent="0.3">
      <c r="A65" s="212"/>
      <c r="B65" s="213"/>
      <c r="C65" s="215"/>
      <c r="D65" s="19"/>
      <c r="E65" s="4"/>
      <c r="F65" s="141" t="s">
        <v>76</v>
      </c>
      <c r="G65" s="38" t="s">
        <v>77</v>
      </c>
      <c r="H65" s="4"/>
      <c r="I65" s="21"/>
    </row>
    <row r="66" spans="1:9" x14ac:dyDescent="0.3">
      <c r="A66" s="212"/>
      <c r="B66" s="213"/>
      <c r="C66" s="215"/>
      <c r="D66" s="341" t="s">
        <v>120</v>
      </c>
      <c r="E66" s="33" t="s">
        <v>11</v>
      </c>
      <c r="F66" s="39" t="str">
        <f>'Rest Runsheet Food'!T20</f>
        <v>Continental</v>
      </c>
      <c r="G66" s="39">
        <f>'Rest Runsheet Food'!U20</f>
        <v>1</v>
      </c>
      <c r="H66" s="4"/>
      <c r="I66" s="21"/>
    </row>
    <row r="67" spans="1:9" x14ac:dyDescent="0.3">
      <c r="A67" s="212"/>
      <c r="B67" s="213"/>
      <c r="C67" s="215"/>
      <c r="D67" s="342"/>
      <c r="E67" s="30" t="s">
        <v>9</v>
      </c>
      <c r="F67" s="39" t="str">
        <f>'Rest Runsheet Food'!T21</f>
        <v>chickpea curry</v>
      </c>
      <c r="G67" s="39">
        <f>'Rest Runsheet Food'!U21</f>
        <v>1</v>
      </c>
      <c r="H67" s="4"/>
      <c r="I67" s="21"/>
    </row>
    <row r="68" spans="1:9" x14ac:dyDescent="0.3">
      <c r="A68" s="212"/>
      <c r="B68" s="213"/>
      <c r="C68" s="215"/>
      <c r="D68" s="343"/>
      <c r="E68" s="34" t="s">
        <v>1</v>
      </c>
      <c r="F68" s="39" t="str">
        <f>'Rest Runsheet Food'!T22</f>
        <v>Spaghetti Bolognese</v>
      </c>
      <c r="G68" s="39">
        <f>'Rest Runsheet Food'!U22</f>
        <v>1</v>
      </c>
      <c r="H68" s="4"/>
      <c r="I68" s="21"/>
    </row>
    <row r="69" spans="1:9" x14ac:dyDescent="0.3">
      <c r="A69" s="212"/>
      <c r="B69" s="213"/>
      <c r="C69" s="215"/>
      <c r="D69" s="19"/>
      <c r="E69" s="4"/>
      <c r="F69" s="4"/>
      <c r="G69" s="4"/>
      <c r="H69" s="4"/>
      <c r="I69" s="21"/>
    </row>
    <row r="70" spans="1:9" x14ac:dyDescent="0.3">
      <c r="A70" s="212"/>
      <c r="B70" s="213"/>
      <c r="C70" s="215"/>
      <c r="D70" s="19"/>
      <c r="E70" s="4"/>
      <c r="F70" s="141" t="s">
        <v>76</v>
      </c>
      <c r="G70" s="38" t="s">
        <v>77</v>
      </c>
      <c r="H70" s="4"/>
      <c r="I70" s="21"/>
    </row>
    <row r="71" spans="1:9" x14ac:dyDescent="0.3">
      <c r="A71" s="212"/>
      <c r="B71" s="213"/>
      <c r="C71" s="215"/>
      <c r="D71" s="344" t="s">
        <v>123</v>
      </c>
      <c r="E71" s="33" t="s">
        <v>11</v>
      </c>
      <c r="F71" s="39" t="str">
        <f>'Rest Runsheet Food'!T29</f>
        <v>Continental</v>
      </c>
      <c r="G71" s="39">
        <f>'Rest Runsheet Food'!U29</f>
        <v>0</v>
      </c>
      <c r="H71" s="4"/>
      <c r="I71" s="21"/>
    </row>
    <row r="72" spans="1:9" x14ac:dyDescent="0.3">
      <c r="C72" s="218"/>
      <c r="D72" s="345"/>
      <c r="E72" s="30" t="s">
        <v>9</v>
      </c>
      <c r="F72" s="39" t="str">
        <f>'Rest Runsheet Food'!T30</f>
        <v>chickpea curry</v>
      </c>
      <c r="G72" s="39">
        <f>'Rest Runsheet Food'!U30</f>
        <v>0</v>
      </c>
      <c r="H72" s="4"/>
      <c r="I72" s="21"/>
    </row>
    <row r="73" spans="1:9" x14ac:dyDescent="0.3">
      <c r="C73" s="218"/>
      <c r="D73" s="346"/>
      <c r="E73" s="34" t="s">
        <v>1</v>
      </c>
      <c r="F73" s="39" t="str">
        <f>'Rest Runsheet Food'!T31</f>
        <v>Spaghetti Bolognese</v>
      </c>
      <c r="G73" s="39">
        <f>'Rest Runsheet Food'!U31</f>
        <v>0</v>
      </c>
      <c r="H73" s="4"/>
      <c r="I73" s="21"/>
    </row>
    <row r="74" spans="1:9" x14ac:dyDescent="0.3">
      <c r="C74" s="218"/>
      <c r="D74" s="19"/>
      <c r="E74" s="4"/>
      <c r="F74" s="4"/>
      <c r="G74" s="4"/>
      <c r="H74" s="4"/>
      <c r="I74" s="21"/>
    </row>
    <row r="75" spans="1:9" x14ac:dyDescent="0.3">
      <c r="C75" s="218"/>
      <c r="D75" s="19"/>
      <c r="E75" s="4"/>
      <c r="F75" s="141" t="s">
        <v>76</v>
      </c>
      <c r="G75" s="38" t="s">
        <v>77</v>
      </c>
      <c r="H75" s="4"/>
      <c r="I75" s="21"/>
    </row>
    <row r="76" spans="1:9" x14ac:dyDescent="0.3">
      <c r="C76" s="218"/>
      <c r="D76" s="349" t="s">
        <v>126</v>
      </c>
      <c r="E76" s="33" t="s">
        <v>11</v>
      </c>
      <c r="F76" s="39" t="str">
        <f>'Rest Runsheet Food'!T38</f>
        <v>Continental</v>
      </c>
      <c r="G76" s="39">
        <f>'Rest Runsheet Food'!U38</f>
        <v>0</v>
      </c>
      <c r="H76" s="4"/>
      <c r="I76" s="21"/>
    </row>
    <row r="77" spans="1:9" ht="19.8" customHeight="1" x14ac:dyDescent="0.3">
      <c r="C77" s="218"/>
      <c r="D77" s="350"/>
      <c r="E77" s="30" t="s">
        <v>9</v>
      </c>
      <c r="F77" s="39" t="str">
        <f>'Rest Runsheet Food'!T39</f>
        <v>chickpea curry</v>
      </c>
      <c r="G77" s="39">
        <f>'Rest Runsheet Food'!U39</f>
        <v>0</v>
      </c>
      <c r="H77" s="4"/>
      <c r="I77" s="21"/>
    </row>
    <row r="78" spans="1:9" x14ac:dyDescent="0.3">
      <c r="C78" s="218"/>
      <c r="D78" s="357"/>
      <c r="E78" s="34" t="s">
        <v>1</v>
      </c>
      <c r="F78" s="39" t="str">
        <f>'Rest Runsheet Food'!T40</f>
        <v>Spaghetti Bolognese</v>
      </c>
      <c r="G78" s="39">
        <f>'Rest Runsheet Food'!U40</f>
        <v>0</v>
      </c>
      <c r="H78" s="4"/>
      <c r="I78" s="21"/>
    </row>
    <row r="79" spans="1:9" x14ac:dyDescent="0.3">
      <c r="C79" s="218"/>
      <c r="D79" s="141"/>
      <c r="E79" s="30"/>
      <c r="F79" s="4"/>
      <c r="G79" s="4"/>
      <c r="H79" s="4"/>
      <c r="I79" s="21"/>
    </row>
    <row r="80" spans="1:9" x14ac:dyDescent="0.3">
      <c r="C80" s="218"/>
      <c r="D80" s="19"/>
      <c r="E80" s="4"/>
      <c r="F80" s="141" t="s">
        <v>76</v>
      </c>
      <c r="G80" s="38" t="s">
        <v>77</v>
      </c>
      <c r="H80" s="4"/>
      <c r="I80" s="21"/>
    </row>
    <row r="81" spans="3:9" x14ac:dyDescent="0.3">
      <c r="C81" s="218"/>
      <c r="D81" s="358" t="s">
        <v>128</v>
      </c>
      <c r="E81" s="33" t="s">
        <v>11</v>
      </c>
      <c r="F81" s="39" t="str">
        <f>'Rest Runsheet Food'!T47</f>
        <v>Continental</v>
      </c>
      <c r="G81" s="39">
        <f>'Rest Runsheet Food'!U47</f>
        <v>0</v>
      </c>
      <c r="H81" s="4"/>
      <c r="I81" s="21"/>
    </row>
    <row r="82" spans="3:9" x14ac:dyDescent="0.3">
      <c r="C82" s="218"/>
      <c r="D82" s="347"/>
      <c r="E82" s="30" t="s">
        <v>9</v>
      </c>
      <c r="F82" s="39" t="str">
        <f>'Rest Runsheet Food'!T48</f>
        <v>chickpea curry</v>
      </c>
      <c r="G82" s="39">
        <f>'Rest Runsheet Food'!U48</f>
        <v>0</v>
      </c>
      <c r="H82" s="4"/>
      <c r="I82" s="21"/>
    </row>
    <row r="83" spans="3:9" x14ac:dyDescent="0.3">
      <c r="C83" s="218"/>
      <c r="D83" s="348"/>
      <c r="E83" s="34" t="s">
        <v>1</v>
      </c>
      <c r="F83" s="39" t="str">
        <f>'Rest Runsheet Food'!T49</f>
        <v>Spaghetti Bolognese</v>
      </c>
      <c r="G83" s="39">
        <f>'Rest Runsheet Food'!U49</f>
        <v>0</v>
      </c>
      <c r="H83" s="4"/>
      <c r="I83" s="21"/>
    </row>
    <row r="84" spans="3:9" x14ac:dyDescent="0.3">
      <c r="C84" s="218"/>
      <c r="D84" s="141"/>
      <c r="E84" s="30"/>
      <c r="F84" s="4"/>
      <c r="G84" s="4"/>
      <c r="H84" s="4"/>
      <c r="I84" s="21"/>
    </row>
    <row r="85" spans="3:9" x14ac:dyDescent="0.3">
      <c r="C85" s="218"/>
      <c r="D85" s="19"/>
      <c r="E85" s="4"/>
      <c r="F85" s="141" t="s">
        <v>76</v>
      </c>
      <c r="G85" s="38" t="s">
        <v>77</v>
      </c>
      <c r="H85" s="4"/>
      <c r="I85" s="21"/>
    </row>
    <row r="86" spans="3:9" x14ac:dyDescent="0.3">
      <c r="C86" s="218"/>
      <c r="D86" s="335" t="s">
        <v>135</v>
      </c>
      <c r="E86" s="33" t="s">
        <v>11</v>
      </c>
      <c r="F86" s="39" t="str">
        <f>'Rest Runsheet Food'!T57</f>
        <v>Continental</v>
      </c>
      <c r="G86" s="39">
        <f>'Rest Runsheet Food'!U57</f>
        <v>0</v>
      </c>
      <c r="H86" s="4"/>
      <c r="I86" s="21"/>
    </row>
    <row r="87" spans="3:9" x14ac:dyDescent="0.3">
      <c r="C87" s="218"/>
      <c r="D87" s="336"/>
      <c r="E87" s="30" t="s">
        <v>9</v>
      </c>
      <c r="F87" s="39" t="str">
        <f>'Rest Runsheet Food'!T58</f>
        <v>chickpea curry</v>
      </c>
      <c r="G87" s="39">
        <f>'Rest Runsheet Food'!U58</f>
        <v>0</v>
      </c>
      <c r="H87" s="4"/>
      <c r="I87" s="21"/>
    </row>
    <row r="88" spans="3:9" x14ac:dyDescent="0.3">
      <c r="C88" s="218"/>
      <c r="D88" s="337"/>
      <c r="E88" s="34" t="s">
        <v>1</v>
      </c>
      <c r="F88" s="39" t="str">
        <f>'Rest Runsheet Food'!T59</f>
        <v>Spaghetti Bolognese</v>
      </c>
      <c r="G88" s="39">
        <f>'Rest Runsheet Food'!U59</f>
        <v>0</v>
      </c>
      <c r="H88" s="4"/>
      <c r="I88" s="21"/>
    </row>
    <row r="89" spans="3:9" x14ac:dyDescent="0.3">
      <c r="C89" s="218"/>
      <c r="D89" s="19"/>
      <c r="E89" s="4"/>
      <c r="F89" s="4"/>
      <c r="G89" s="4"/>
      <c r="H89" s="4"/>
      <c r="I89" s="21"/>
    </row>
    <row r="90" spans="3:9" ht="16.2" thickBot="1" x14ac:dyDescent="0.35">
      <c r="C90" s="218"/>
      <c r="D90" s="133"/>
      <c r="E90" s="22"/>
      <c r="F90" s="22"/>
      <c r="G90" s="22"/>
      <c r="H90" s="22"/>
      <c r="I90" s="23"/>
    </row>
    <row r="91" spans="3:9" x14ac:dyDescent="0.3">
      <c r="C91" s="218"/>
    </row>
    <row r="92" spans="3:9" x14ac:dyDescent="0.3">
      <c r="C92" s="218"/>
    </row>
    <row r="93" spans="3:9" x14ac:dyDescent="0.3">
      <c r="C93" s="218"/>
    </row>
    <row r="94" spans="3:9" x14ac:dyDescent="0.3">
      <c r="C94" s="218"/>
    </row>
    <row r="95" spans="3:9" x14ac:dyDescent="0.3">
      <c r="C95" s="218"/>
    </row>
    <row r="96" spans="3:9" x14ac:dyDescent="0.3">
      <c r="C96" s="218"/>
    </row>
    <row r="97" spans="3:3" x14ac:dyDescent="0.3">
      <c r="C97" s="218"/>
    </row>
    <row r="98" spans="3:3" x14ac:dyDescent="0.3">
      <c r="C98" s="218"/>
    </row>
    <row r="99" spans="3:3" x14ac:dyDescent="0.3">
      <c r="C99" s="218"/>
    </row>
    <row r="100" spans="3:3" x14ac:dyDescent="0.3">
      <c r="C100" s="218"/>
    </row>
    <row r="101" spans="3:3" x14ac:dyDescent="0.3">
      <c r="C101" s="218"/>
    </row>
    <row r="102" spans="3:3" x14ac:dyDescent="0.3">
      <c r="C102" s="218"/>
    </row>
    <row r="103" spans="3:3" x14ac:dyDescent="0.3">
      <c r="C103" s="218"/>
    </row>
    <row r="104" spans="3:3" x14ac:dyDescent="0.3">
      <c r="C104" s="218"/>
    </row>
    <row r="105" spans="3:3" x14ac:dyDescent="0.3">
      <c r="C105" s="218"/>
    </row>
    <row r="106" spans="3:3" x14ac:dyDescent="0.3">
      <c r="C106" s="218"/>
    </row>
    <row r="107" spans="3:3" x14ac:dyDescent="0.3">
      <c r="C107" s="218"/>
    </row>
    <row r="108" spans="3:3" x14ac:dyDescent="0.3">
      <c r="C108" s="218"/>
    </row>
    <row r="109" spans="3:3" x14ac:dyDescent="0.3">
      <c r="C109" s="218"/>
    </row>
    <row r="110" spans="3:3" x14ac:dyDescent="0.3">
      <c r="C110" s="218"/>
    </row>
    <row r="111" spans="3:3" x14ac:dyDescent="0.3">
      <c r="C111" s="218"/>
    </row>
    <row r="112" spans="3:3" x14ac:dyDescent="0.3">
      <c r="C112" s="218"/>
    </row>
    <row r="113" spans="3:3" x14ac:dyDescent="0.3">
      <c r="C113" s="218"/>
    </row>
    <row r="114" spans="3:3" x14ac:dyDescent="0.3">
      <c r="C114" s="218"/>
    </row>
    <row r="115" spans="3:3" x14ac:dyDescent="0.3">
      <c r="C115" s="218"/>
    </row>
    <row r="116" spans="3:3" x14ac:dyDescent="0.3">
      <c r="C116" s="218"/>
    </row>
    <row r="117" spans="3:3" x14ac:dyDescent="0.3">
      <c r="C117" s="218"/>
    </row>
    <row r="118" spans="3:3" x14ac:dyDescent="0.3">
      <c r="C118" s="218"/>
    </row>
    <row r="119" spans="3:3" x14ac:dyDescent="0.3">
      <c r="C119" s="218"/>
    </row>
    <row r="120" spans="3:3" x14ac:dyDescent="0.3">
      <c r="C120" s="218"/>
    </row>
    <row r="121" spans="3:3" x14ac:dyDescent="0.3">
      <c r="C121" s="218"/>
    </row>
    <row r="122" spans="3:3" x14ac:dyDescent="0.3">
      <c r="C122" s="218"/>
    </row>
    <row r="123" spans="3:3" x14ac:dyDescent="0.3">
      <c r="C123" s="218"/>
    </row>
    <row r="124" spans="3:3" x14ac:dyDescent="0.3">
      <c r="C124" s="218"/>
    </row>
    <row r="125" spans="3:3" x14ac:dyDescent="0.3">
      <c r="C125" s="218"/>
    </row>
    <row r="126" spans="3:3" x14ac:dyDescent="0.3">
      <c r="C126" s="218"/>
    </row>
    <row r="127" spans="3:3" x14ac:dyDescent="0.3">
      <c r="C127" s="218"/>
    </row>
    <row r="128" spans="3:3" x14ac:dyDescent="0.3">
      <c r="C128" s="218"/>
    </row>
    <row r="129" spans="3:3" x14ac:dyDescent="0.3">
      <c r="C129" s="218"/>
    </row>
    <row r="130" spans="3:3" x14ac:dyDescent="0.3">
      <c r="C130" s="218"/>
    </row>
    <row r="131" spans="3:3" x14ac:dyDescent="0.3">
      <c r="C131" s="218"/>
    </row>
    <row r="132" spans="3:3" x14ac:dyDescent="0.3">
      <c r="C132" s="218"/>
    </row>
    <row r="133" spans="3:3" x14ac:dyDescent="0.3">
      <c r="C133" s="218"/>
    </row>
    <row r="134" spans="3:3" x14ac:dyDescent="0.3">
      <c r="C134" s="218"/>
    </row>
    <row r="135" spans="3:3" x14ac:dyDescent="0.3">
      <c r="C135" s="218"/>
    </row>
    <row r="136" spans="3:3" x14ac:dyDescent="0.3">
      <c r="C136" s="218"/>
    </row>
    <row r="137" spans="3:3" x14ac:dyDescent="0.3">
      <c r="C137" s="218"/>
    </row>
    <row r="138" spans="3:3" x14ac:dyDescent="0.3">
      <c r="C138" s="218"/>
    </row>
    <row r="139" spans="3:3" x14ac:dyDescent="0.3">
      <c r="C139" s="218"/>
    </row>
    <row r="140" spans="3:3" x14ac:dyDescent="0.3">
      <c r="C140" s="218"/>
    </row>
    <row r="141" spans="3:3" x14ac:dyDescent="0.3">
      <c r="C141" s="218"/>
    </row>
    <row r="142" spans="3:3" x14ac:dyDescent="0.3">
      <c r="C142" s="218"/>
    </row>
    <row r="143" spans="3:3" x14ac:dyDescent="0.3">
      <c r="C143" s="218"/>
    </row>
    <row r="144" spans="3:3" x14ac:dyDescent="0.3">
      <c r="C144" s="218"/>
    </row>
    <row r="145" spans="3:3" x14ac:dyDescent="0.3">
      <c r="C145" s="218"/>
    </row>
    <row r="146" spans="3:3" x14ac:dyDescent="0.3">
      <c r="C146" s="218"/>
    </row>
    <row r="147" spans="3:3" x14ac:dyDescent="0.3">
      <c r="C147" s="218"/>
    </row>
    <row r="148" spans="3:3" x14ac:dyDescent="0.3">
      <c r="C148" s="218"/>
    </row>
    <row r="149" spans="3:3" x14ac:dyDescent="0.3">
      <c r="C149" s="218"/>
    </row>
    <row r="150" spans="3:3" x14ac:dyDescent="0.3">
      <c r="C150" s="218"/>
    </row>
    <row r="151" spans="3:3" x14ac:dyDescent="0.3">
      <c r="C151" s="218"/>
    </row>
    <row r="152" spans="3:3" x14ac:dyDescent="0.3">
      <c r="C152" s="218"/>
    </row>
    <row r="153" spans="3:3" x14ac:dyDescent="0.3">
      <c r="C153" s="218"/>
    </row>
    <row r="154" spans="3:3" x14ac:dyDescent="0.3">
      <c r="C154" s="218"/>
    </row>
    <row r="155" spans="3:3" x14ac:dyDescent="0.3">
      <c r="C155" s="218"/>
    </row>
    <row r="156" spans="3:3" x14ac:dyDescent="0.3">
      <c r="C156" s="218"/>
    </row>
    <row r="157" spans="3:3" x14ac:dyDescent="0.3">
      <c r="C157" s="218"/>
    </row>
    <row r="158" spans="3:3" x14ac:dyDescent="0.3">
      <c r="C158" s="218"/>
    </row>
    <row r="159" spans="3:3" x14ac:dyDescent="0.3">
      <c r="C159" s="218"/>
    </row>
    <row r="160" spans="3:3" x14ac:dyDescent="0.3">
      <c r="C160" s="218"/>
    </row>
    <row r="161" spans="3:3" x14ac:dyDescent="0.3">
      <c r="C161" s="218"/>
    </row>
    <row r="162" spans="3:3" x14ac:dyDescent="0.3">
      <c r="C162" s="218"/>
    </row>
    <row r="163" spans="3:3" x14ac:dyDescent="0.3">
      <c r="C163" s="218"/>
    </row>
    <row r="164" spans="3:3" x14ac:dyDescent="0.3">
      <c r="C164" s="218"/>
    </row>
    <row r="165" spans="3:3" x14ac:dyDescent="0.3">
      <c r="C165" s="218"/>
    </row>
    <row r="166" spans="3:3" x14ac:dyDescent="0.3">
      <c r="C166" s="218"/>
    </row>
    <row r="167" spans="3:3" x14ac:dyDescent="0.3">
      <c r="C167" s="218"/>
    </row>
    <row r="168" spans="3:3" x14ac:dyDescent="0.3">
      <c r="C168" s="218"/>
    </row>
    <row r="169" spans="3:3" x14ac:dyDescent="0.3">
      <c r="C169" s="218"/>
    </row>
    <row r="170" spans="3:3" x14ac:dyDescent="0.3">
      <c r="C170" s="218"/>
    </row>
    <row r="171" spans="3:3" x14ac:dyDescent="0.3">
      <c r="C171" s="218"/>
    </row>
    <row r="172" spans="3:3" x14ac:dyDescent="0.3">
      <c r="C172" s="218"/>
    </row>
    <row r="173" spans="3:3" x14ac:dyDescent="0.3">
      <c r="C173" s="218"/>
    </row>
    <row r="174" spans="3:3" x14ac:dyDescent="0.3">
      <c r="C174" s="218"/>
    </row>
    <row r="175" spans="3:3" x14ac:dyDescent="0.3">
      <c r="C175" s="218"/>
    </row>
    <row r="176" spans="3:3" x14ac:dyDescent="0.3">
      <c r="C176" s="218"/>
    </row>
    <row r="177" spans="3:3" x14ac:dyDescent="0.3">
      <c r="C177" s="218"/>
    </row>
    <row r="178" spans="3:3" x14ac:dyDescent="0.3">
      <c r="C178" s="218"/>
    </row>
    <row r="179" spans="3:3" x14ac:dyDescent="0.3">
      <c r="C179" s="218"/>
    </row>
    <row r="180" spans="3:3" x14ac:dyDescent="0.3">
      <c r="C180" s="218"/>
    </row>
    <row r="181" spans="3:3" x14ac:dyDescent="0.3">
      <c r="C181" s="218"/>
    </row>
    <row r="182" spans="3:3" x14ac:dyDescent="0.3">
      <c r="C182" s="218"/>
    </row>
    <row r="183" spans="3:3" x14ac:dyDescent="0.3">
      <c r="C183" s="218"/>
    </row>
    <row r="184" spans="3:3" x14ac:dyDescent="0.3">
      <c r="C184" s="218"/>
    </row>
    <row r="185" spans="3:3" x14ac:dyDescent="0.3">
      <c r="C185" s="218"/>
    </row>
    <row r="186" spans="3:3" x14ac:dyDescent="0.3">
      <c r="C186" s="218"/>
    </row>
    <row r="187" spans="3:3" x14ac:dyDescent="0.3">
      <c r="C187" s="218"/>
    </row>
    <row r="188" spans="3:3" x14ac:dyDescent="0.3">
      <c r="C188" s="218"/>
    </row>
    <row r="189" spans="3:3" x14ac:dyDescent="0.3">
      <c r="C189" s="218"/>
    </row>
    <row r="190" spans="3:3" x14ac:dyDescent="0.3">
      <c r="C190" s="218"/>
    </row>
    <row r="191" spans="3:3" x14ac:dyDescent="0.3">
      <c r="C191" s="218"/>
    </row>
    <row r="192" spans="3:3" x14ac:dyDescent="0.3">
      <c r="C192" s="218"/>
    </row>
    <row r="193" spans="3:3" x14ac:dyDescent="0.3">
      <c r="C193" s="218"/>
    </row>
    <row r="194" spans="3:3" x14ac:dyDescent="0.3">
      <c r="C194" s="218"/>
    </row>
    <row r="195" spans="3:3" x14ac:dyDescent="0.3">
      <c r="C195" s="218"/>
    </row>
    <row r="196" spans="3:3" x14ac:dyDescent="0.3">
      <c r="C196" s="218"/>
    </row>
    <row r="197" spans="3:3" x14ac:dyDescent="0.3">
      <c r="C197" s="218"/>
    </row>
    <row r="198" spans="3:3" x14ac:dyDescent="0.3">
      <c r="C198" s="218"/>
    </row>
    <row r="199" spans="3:3" x14ac:dyDescent="0.3">
      <c r="C199" s="218"/>
    </row>
    <row r="200" spans="3:3" x14ac:dyDescent="0.3">
      <c r="C200" s="218"/>
    </row>
    <row r="201" spans="3:3" x14ac:dyDescent="0.3">
      <c r="C201" s="218"/>
    </row>
    <row r="202" spans="3:3" x14ac:dyDescent="0.3">
      <c r="C202" s="218"/>
    </row>
    <row r="203" spans="3:3" x14ac:dyDescent="0.3">
      <c r="C203" s="218"/>
    </row>
    <row r="204" spans="3:3" x14ac:dyDescent="0.3">
      <c r="C204" s="218"/>
    </row>
    <row r="205" spans="3:3" x14ac:dyDescent="0.3">
      <c r="C205" s="218"/>
    </row>
    <row r="206" spans="3:3" x14ac:dyDescent="0.3">
      <c r="C206" s="218"/>
    </row>
    <row r="207" spans="3:3" x14ac:dyDescent="0.3">
      <c r="C207" s="218"/>
    </row>
    <row r="208" spans="3:3" x14ac:dyDescent="0.3">
      <c r="C208" s="218"/>
    </row>
    <row r="209" spans="3:3" x14ac:dyDescent="0.3">
      <c r="C209" s="218"/>
    </row>
    <row r="210" spans="3:3" x14ac:dyDescent="0.3">
      <c r="C210" s="218"/>
    </row>
    <row r="211" spans="3:3" x14ac:dyDescent="0.3">
      <c r="C211" s="218"/>
    </row>
    <row r="212" spans="3:3" x14ac:dyDescent="0.3">
      <c r="C212" s="218"/>
    </row>
    <row r="213" spans="3:3" x14ac:dyDescent="0.3">
      <c r="C213" s="218"/>
    </row>
    <row r="214" spans="3:3" x14ac:dyDescent="0.3">
      <c r="C214" s="218"/>
    </row>
    <row r="215" spans="3:3" x14ac:dyDescent="0.3">
      <c r="C215" s="218"/>
    </row>
    <row r="216" spans="3:3" x14ac:dyDescent="0.3">
      <c r="C216" s="218"/>
    </row>
    <row r="217" spans="3:3" x14ac:dyDescent="0.3">
      <c r="C217" s="218"/>
    </row>
    <row r="218" spans="3:3" x14ac:dyDescent="0.3">
      <c r="C218" s="218"/>
    </row>
    <row r="219" spans="3:3" x14ac:dyDescent="0.3">
      <c r="C219" s="218"/>
    </row>
    <row r="220" spans="3:3" x14ac:dyDescent="0.3">
      <c r="C220" s="218"/>
    </row>
    <row r="221" spans="3:3" x14ac:dyDescent="0.3">
      <c r="C221" s="218"/>
    </row>
    <row r="222" spans="3:3" x14ac:dyDescent="0.3">
      <c r="C222" s="218"/>
    </row>
    <row r="223" spans="3:3" x14ac:dyDescent="0.3">
      <c r="C223" s="218"/>
    </row>
    <row r="224" spans="3:3" x14ac:dyDescent="0.3">
      <c r="C224" s="218"/>
    </row>
    <row r="225" spans="3:3" x14ac:dyDescent="0.3">
      <c r="C225" s="218"/>
    </row>
    <row r="226" spans="3:3" x14ac:dyDescent="0.3">
      <c r="C226" s="218"/>
    </row>
    <row r="227" spans="3:3" x14ac:dyDescent="0.3">
      <c r="C227" s="218"/>
    </row>
    <row r="228" spans="3:3" x14ac:dyDescent="0.3">
      <c r="C228" s="218"/>
    </row>
    <row r="229" spans="3:3" x14ac:dyDescent="0.3">
      <c r="C229" s="218"/>
    </row>
    <row r="230" spans="3:3" x14ac:dyDescent="0.3">
      <c r="C230" s="218"/>
    </row>
    <row r="231" spans="3:3" x14ac:dyDescent="0.3">
      <c r="C231" s="218"/>
    </row>
    <row r="232" spans="3:3" x14ac:dyDescent="0.3">
      <c r="C232" s="218"/>
    </row>
    <row r="233" spans="3:3" x14ac:dyDescent="0.3">
      <c r="C233" s="218"/>
    </row>
    <row r="234" spans="3:3" x14ac:dyDescent="0.3">
      <c r="C234" s="218"/>
    </row>
    <row r="235" spans="3:3" x14ac:dyDescent="0.3">
      <c r="C235" s="218"/>
    </row>
    <row r="236" spans="3:3" x14ac:dyDescent="0.3">
      <c r="C236" s="218"/>
    </row>
    <row r="237" spans="3:3" x14ac:dyDescent="0.3">
      <c r="C237" s="218"/>
    </row>
    <row r="238" spans="3:3" x14ac:dyDescent="0.3">
      <c r="C238" s="218"/>
    </row>
    <row r="239" spans="3:3" x14ac:dyDescent="0.3">
      <c r="C239" s="218"/>
    </row>
    <row r="240" spans="3:3" x14ac:dyDescent="0.3">
      <c r="C240" s="218"/>
    </row>
    <row r="241" spans="3:3" x14ac:dyDescent="0.3">
      <c r="C241" s="218"/>
    </row>
    <row r="242" spans="3:3" x14ac:dyDescent="0.3">
      <c r="C242" s="218"/>
    </row>
    <row r="243" spans="3:3" x14ac:dyDescent="0.3">
      <c r="C243" s="218"/>
    </row>
    <row r="244" spans="3:3" x14ac:dyDescent="0.3">
      <c r="C244" s="218"/>
    </row>
    <row r="245" spans="3:3" x14ac:dyDescent="0.3">
      <c r="C245" s="218"/>
    </row>
    <row r="246" spans="3:3" x14ac:dyDescent="0.3">
      <c r="C246" s="218"/>
    </row>
    <row r="247" spans="3:3" x14ac:dyDescent="0.3">
      <c r="C247" s="218"/>
    </row>
    <row r="248" spans="3:3" x14ac:dyDescent="0.3">
      <c r="C248" s="218"/>
    </row>
    <row r="249" spans="3:3" x14ac:dyDescent="0.3">
      <c r="C249" s="218"/>
    </row>
    <row r="250" spans="3:3" x14ac:dyDescent="0.3">
      <c r="C250" s="218"/>
    </row>
    <row r="251" spans="3:3" x14ac:dyDescent="0.3">
      <c r="C251" s="218"/>
    </row>
    <row r="252" spans="3:3" x14ac:dyDescent="0.3">
      <c r="C252" s="218"/>
    </row>
    <row r="253" spans="3:3" x14ac:dyDescent="0.3">
      <c r="C253" s="218"/>
    </row>
    <row r="254" spans="3:3" x14ac:dyDescent="0.3">
      <c r="C254" s="218"/>
    </row>
    <row r="255" spans="3:3" x14ac:dyDescent="0.3">
      <c r="C255" s="218"/>
    </row>
    <row r="256" spans="3:3" x14ac:dyDescent="0.3">
      <c r="C256" s="218"/>
    </row>
    <row r="257" spans="3:3" x14ac:dyDescent="0.3">
      <c r="C257" s="218"/>
    </row>
    <row r="258" spans="3:3" x14ac:dyDescent="0.3">
      <c r="C258" s="218"/>
    </row>
  </sheetData>
  <mergeCells count="47">
    <mergeCell ref="E1:G1"/>
    <mergeCell ref="E2:G2"/>
    <mergeCell ref="D4:I4"/>
    <mergeCell ref="D19:I19"/>
    <mergeCell ref="D27:I27"/>
    <mergeCell ref="D60:I60"/>
    <mergeCell ref="D45:D46"/>
    <mergeCell ref="E45:I46"/>
    <mergeCell ref="D47:D48"/>
    <mergeCell ref="E47:I48"/>
    <mergeCell ref="D49:D50"/>
    <mergeCell ref="E49:I50"/>
    <mergeCell ref="D41:D42"/>
    <mergeCell ref="B38:B39"/>
    <mergeCell ref="B2:B3"/>
    <mergeCell ref="B5:B6"/>
    <mergeCell ref="B8:B9"/>
    <mergeCell ref="B11:B12"/>
    <mergeCell ref="B14:B15"/>
    <mergeCell ref="D31:D32"/>
    <mergeCell ref="D33:D34"/>
    <mergeCell ref="D35:D36"/>
    <mergeCell ref="D37:D38"/>
    <mergeCell ref="D39:D40"/>
    <mergeCell ref="D29:D30"/>
    <mergeCell ref="B41:B42"/>
    <mergeCell ref="B17:B18"/>
    <mergeCell ref="B20:B21"/>
    <mergeCell ref="D43:I43"/>
    <mergeCell ref="B44:B45"/>
    <mergeCell ref="B47:B48"/>
    <mergeCell ref="B50:B51"/>
    <mergeCell ref="D57:I57"/>
    <mergeCell ref="D52:I52"/>
    <mergeCell ref="D53:I54"/>
    <mergeCell ref="D55:I56"/>
    <mergeCell ref="D71:D73"/>
    <mergeCell ref="D76:D78"/>
    <mergeCell ref="D81:D83"/>
    <mergeCell ref="D86:D88"/>
    <mergeCell ref="D61:D63"/>
    <mergeCell ref="D66:D68"/>
    <mergeCell ref="B23:B24"/>
    <mergeCell ref="B26:B27"/>
    <mergeCell ref="B29:B30"/>
    <mergeCell ref="B32:B33"/>
    <mergeCell ref="B35:B36"/>
  </mergeCells>
  <hyperlinks>
    <hyperlink ref="B2" location="Panel!C4" display="HOME" xr:uid="{273F3D6D-5AD3-4242-AFBB-6CDBCBB23A5E}"/>
    <hyperlink ref="B5" location="Panel!C4" display="HOME" xr:uid="{B928759D-0A2F-4637-8431-BADC67977E90}"/>
    <hyperlink ref="B17" location="Panel!C4" display="HOME" xr:uid="{E2F70F65-E3F6-4797-81F5-5478C25FE42C}"/>
    <hyperlink ref="B20" location="Panel!C4" display="HOME" xr:uid="{452C77D2-111E-4547-9178-C4E292158178}"/>
    <hyperlink ref="B23" location="Panel!C4" display="HOME" xr:uid="{E12C8338-8A01-43B6-82DE-3B999A7E2E78}"/>
    <hyperlink ref="B5:B6" location="data_formula_legend!A1" display="DATA" xr:uid="{0EC6EDCF-A4E3-4FBB-9121-FD98AC87FE94}"/>
    <hyperlink ref="B17:B18" location="day_1!A1" display="DAY 1" xr:uid="{DC2DA7AC-8DBF-4289-A613-5B0019073709}"/>
    <hyperlink ref="B8" location="Panel!C4" display="HOME" xr:uid="{D8D2E219-0079-4C0A-9ADD-B51152B3AA8B}"/>
    <hyperlink ref="B8:B9" location="Runsheet!A1" display="RUNSHEET" xr:uid="{3ADE3636-A45A-41D4-AD7B-63EBDD02CBD8}"/>
    <hyperlink ref="B20:B21" location="day_2!A1" display="DAY 2" xr:uid="{F1C28B06-87A1-4730-9592-448E8B3D8E6B}"/>
    <hyperlink ref="B23:B24" location="day_3!A1" display="DAY 3" xr:uid="{36DA9DFD-9AE1-4C5D-A4A0-179A8A12DA1E}"/>
    <hyperlink ref="B2:B3" location="HOME!A1" display="HOME" xr:uid="{BFE62E0A-21A3-4F0E-A39D-8D6A607C6A91}"/>
    <hyperlink ref="B26" location="Panel!C4" display="HOME" xr:uid="{DC557FA0-916E-452F-BBE6-2E3AABBEAC25}"/>
    <hyperlink ref="B26:B27" location="day_5!A1" display="DAY 4" xr:uid="{FDD6BF7D-7025-4D5A-A982-ED904DCD6999}"/>
    <hyperlink ref="B29" location="Panel!C4" display="HOME" xr:uid="{5B4F0AA5-9709-4417-AF2F-B72501051A34}"/>
    <hyperlink ref="B29:B30" location="day_5!A1" display="DAY 5" xr:uid="{5814344B-6B32-40CE-B242-F39B9B0407C1}"/>
    <hyperlink ref="B32" location="Panel!C4" display="HOME" xr:uid="{550D5F18-5D5F-4AE0-AE4A-B32958409480}"/>
    <hyperlink ref="B32:B33" location="day_6!A1" display="DAY 6" xr:uid="{99541FA2-5627-47ED-9D78-7E6C0C7DF728}"/>
    <hyperlink ref="B14:B15" location="'Food Serves'!A1" display="FOOD SERVES" xr:uid="{E80D5B2C-47E6-4810-98C9-7420BCCF0EDE}"/>
    <hyperlink ref="B11:B12" location="'Rest Runsheet Food'!A1" display="RESTAURANT RUNSHEET" xr:uid="{682693FC-0A8B-4041-8D75-163E4A5BB4A7}"/>
    <hyperlink ref="B14" location="Panel!C4" display="HOME" xr:uid="{BAB69B0D-D7DE-440A-A81A-26C4012570EB}"/>
    <hyperlink ref="B11" location="Panel!C4" display="HOME" xr:uid="{5FF50096-611B-4A51-BB04-F59ED8CEB161}"/>
    <hyperlink ref="B35" location="Panel!C4" display="HOME" xr:uid="{97F4B823-8BA2-4167-9374-4D6DC2BF775C}"/>
    <hyperlink ref="B35:B36" location="day_7!A1" display="DAY 7" xr:uid="{0313A302-F497-4F83-AF66-7DFD247793F3}"/>
    <hyperlink ref="B38" location="Panel!C4" display="HOME" xr:uid="{170096AF-B0F1-43E6-8955-1B30971DAAA5}"/>
    <hyperlink ref="B38:B39" location="day_8!A1" display="DAY 8" xr:uid="{DD8D92DC-FA7A-42C1-B2D7-B918746B5665}"/>
    <hyperlink ref="B41" location="Panel!C4" display="HOME" xr:uid="{8F70169A-0B65-45A8-85FC-67392DB383FC}"/>
    <hyperlink ref="B41:B42" location="day_9!A1" display="DAY 9" xr:uid="{E90C122A-9C01-4FA6-AFC8-724C3AFBB4E3}"/>
    <hyperlink ref="B44" location="Panel!C4" display="HOME" xr:uid="{A5BB2042-4EC6-4910-8B20-5FBDFD48FDB1}"/>
    <hyperlink ref="B44:B45" location="day_10!A1" display="DAY 10" xr:uid="{818BA55A-61A4-47F6-85D5-88ADDD7FAF19}"/>
    <hyperlink ref="B47" location="Panel!C4" display="HOME" xr:uid="{D9D044C1-BC28-4D2A-B08E-4F40653A6366}"/>
    <hyperlink ref="B47:B48" location="day_11!A1" display="DAY 11" xr:uid="{4224F38B-FE6F-41D1-8132-FB2E3E96EF7B}"/>
    <hyperlink ref="B50" location="Panel!C4" display="HOME" xr:uid="{23587CC3-D3B7-4B11-9D74-58D289DE524D}"/>
    <hyperlink ref="B50:B51" location="day_12!A1" display="DAY 12" xr:uid="{49786D7E-6811-4EA1-A955-25E51EB8379E}"/>
  </hyperlinks>
  <pageMargins left="0.23622047244094491" right="0.23622047244094491" top="0.15748031496062992" bottom="0.15748031496062992" header="0" footer="0"/>
  <pageSetup paperSize="9" scale="56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70FAC-B8F8-4E9F-8C05-776BF62ED60A}">
  <sheetPr codeName="Sheet17">
    <pageSetUpPr fitToPage="1"/>
  </sheetPr>
  <dimension ref="A1:I259"/>
  <sheetViews>
    <sheetView topLeftCell="A13" workbookViewId="0">
      <selection activeCell="B11" sqref="B11:B12"/>
    </sheetView>
  </sheetViews>
  <sheetFormatPr defaultRowHeight="15.6" x14ac:dyDescent="0.3"/>
  <cols>
    <col min="1" max="1" width="1.77734375" style="216" customWidth="1"/>
    <col min="2" max="2" width="14" style="217" bestFit="1" customWidth="1"/>
    <col min="3" max="3" width="1.77734375" style="216" customWidth="1"/>
    <col min="4" max="4" width="45.6640625" bestFit="1" customWidth="1"/>
    <col min="5" max="5" width="21.21875" bestFit="1" customWidth="1"/>
    <col min="6" max="6" width="36.21875" bestFit="1" customWidth="1"/>
    <col min="7" max="7" width="23.44140625" bestFit="1" customWidth="1"/>
    <col min="8" max="8" width="27.77734375" bestFit="1" customWidth="1"/>
    <col min="9" max="9" width="33.44140625" bestFit="1" customWidth="1"/>
  </cols>
  <sheetData>
    <row r="1" spans="1:9" ht="16.2" thickBot="1" x14ac:dyDescent="0.35">
      <c r="A1" s="212"/>
      <c r="B1" s="213"/>
      <c r="C1" s="212"/>
      <c r="D1" s="16"/>
      <c r="E1" s="351" t="str">
        <f>Runsheet!BQ7</f>
        <v>Day 9</v>
      </c>
      <c r="F1" s="351"/>
      <c r="G1" s="351"/>
      <c r="H1" s="17"/>
      <c r="I1" s="18"/>
    </row>
    <row r="2" spans="1:9" ht="15" customHeight="1" thickTop="1" x14ac:dyDescent="0.3">
      <c r="A2" s="212"/>
      <c r="B2" s="318" t="s">
        <v>264</v>
      </c>
      <c r="C2" s="212"/>
      <c r="D2" s="19"/>
      <c r="E2" s="352">
        <f>Runsheet!BQ6</f>
        <v>44794</v>
      </c>
      <c r="F2" s="352"/>
      <c r="G2" s="352"/>
      <c r="H2" s="4"/>
      <c r="I2" s="21"/>
    </row>
    <row r="3" spans="1:9" ht="15" customHeight="1" thickBot="1" x14ac:dyDescent="0.35">
      <c r="A3" s="212"/>
      <c r="B3" s="319"/>
      <c r="C3" s="212"/>
      <c r="D3" s="19"/>
      <c r="E3" s="144"/>
      <c r="F3" s="144"/>
      <c r="G3" s="144"/>
      <c r="H3" s="4"/>
      <c r="I3" s="21"/>
    </row>
    <row r="4" spans="1:9" ht="16.8" thickTop="1" thickBot="1" x14ac:dyDescent="0.35">
      <c r="A4" s="212"/>
      <c r="B4" s="213"/>
      <c r="C4" s="212"/>
      <c r="D4" s="354" t="s">
        <v>179</v>
      </c>
      <c r="E4" s="355"/>
      <c r="F4" s="355"/>
      <c r="G4" s="355"/>
      <c r="H4" s="355"/>
      <c r="I4" s="356"/>
    </row>
    <row r="5" spans="1:9" ht="15" customHeight="1" thickTop="1" x14ac:dyDescent="0.3">
      <c r="A5" s="212"/>
      <c r="B5" s="320" t="s">
        <v>247</v>
      </c>
      <c r="C5" s="212"/>
      <c r="D5" s="136" t="s">
        <v>37</v>
      </c>
      <c r="E5" s="136" t="s">
        <v>190</v>
      </c>
      <c r="F5" s="136" t="s">
        <v>195</v>
      </c>
      <c r="G5" s="136" t="s">
        <v>200</v>
      </c>
      <c r="H5" s="4"/>
      <c r="I5" s="21"/>
    </row>
    <row r="6" spans="1:9" ht="15" customHeight="1" thickBot="1" x14ac:dyDescent="0.35">
      <c r="A6" s="212"/>
      <c r="B6" s="321"/>
      <c r="C6" s="212"/>
      <c r="D6" s="137" t="str">
        <f>guest_lists[[#This Row],[tour_type]]</f>
        <v>12 - DPCYT</v>
      </c>
      <c r="E6" s="137" t="str">
        <f>guest_lists[[#This Row],[guest_lists]]</f>
        <v>Penelope Lister</v>
      </c>
      <c r="F6" s="137" t="str">
        <f>guest_lists[[#This Row],[party]]</f>
        <v>party_1 G1</v>
      </c>
      <c r="G6" s="137" t="str">
        <f>guest_lists[[#This Row],[dietary_requirements2]]</f>
        <v>nil</v>
      </c>
      <c r="H6" s="4"/>
      <c r="I6" s="21"/>
    </row>
    <row r="7" spans="1:9" ht="16.8" thickTop="1" thickBot="1" x14ac:dyDescent="0.35">
      <c r="A7" s="214"/>
      <c r="B7" s="213"/>
      <c r="C7" s="214"/>
      <c r="D7" s="137" t="str">
        <f>guest_lists[[#This Row],[tour_type]]</f>
        <v>12 - DPCYT</v>
      </c>
      <c r="E7" s="137" t="str">
        <f>guest_lists[[#This Row],[guest_lists]]</f>
        <v>Gerald Lister</v>
      </c>
      <c r="F7" s="137" t="str">
        <f>guest_lists[[#This Row],[party]]</f>
        <v>party_1 G2</v>
      </c>
      <c r="G7" s="137" t="str">
        <f>guest_lists[[#This Row],[dietary_requirements2]]</f>
        <v>nil</v>
      </c>
      <c r="H7" s="4"/>
      <c r="I7" s="21"/>
    </row>
    <row r="8" spans="1:9" ht="15" customHeight="1" thickTop="1" x14ac:dyDescent="0.3">
      <c r="A8" s="212"/>
      <c r="B8" s="318" t="s">
        <v>265</v>
      </c>
      <c r="C8" s="212"/>
      <c r="D8" s="137" t="str">
        <f>guest_lists[[#This Row],[tour_type]]</f>
        <v>12 - DPCYT</v>
      </c>
      <c r="E8" s="137" t="str">
        <f>guest_lists[[#This Row],[guest_lists]]</f>
        <v>Denis Lister</v>
      </c>
      <c r="F8" s="137" t="str">
        <f>guest_lists[[#This Row],[party]]</f>
        <v>party_2 G1</v>
      </c>
      <c r="G8" s="137" t="str">
        <f>guest_lists[[#This Row],[dietary_requirements2]]</f>
        <v>nil</v>
      </c>
      <c r="H8" s="4"/>
      <c r="I8" s="21"/>
    </row>
    <row r="9" spans="1:9" ht="15" customHeight="1" thickBot="1" x14ac:dyDescent="0.35">
      <c r="A9" s="212"/>
      <c r="B9" s="319"/>
      <c r="C9" s="215"/>
      <c r="D9" s="137" t="str">
        <f>guest_lists[[#This Row],[tour_type]]</f>
        <v>12 - DSCYT</v>
      </c>
      <c r="E9" s="137" t="str">
        <f>guest_lists[[#This Row],[guest_lists]]</f>
        <v>Mark Morgan</v>
      </c>
      <c r="F9" s="137" t="str">
        <f>guest_lists[[#This Row],[party]]</f>
        <v>party_3 G1</v>
      </c>
      <c r="G9" s="137" t="str">
        <f>guest_lists[[#This Row],[dietary_requirements2]]</f>
        <v>nil</v>
      </c>
      <c r="H9" s="4"/>
      <c r="I9" s="21"/>
    </row>
    <row r="10" spans="1:9" ht="16.8" thickTop="1" thickBot="1" x14ac:dyDescent="0.35">
      <c r="A10" s="212"/>
      <c r="B10" s="213"/>
      <c r="C10" s="215"/>
      <c r="D10" s="137" t="str">
        <f>guest_lists[[#This Row],[tour_type]]</f>
        <v>12 - DSCYT</v>
      </c>
      <c r="E10" s="137" t="str">
        <f>guest_lists[[#This Row],[guest_lists]]</f>
        <v>Nicola Morgan</v>
      </c>
      <c r="F10" s="137" t="str">
        <f>guest_lists[[#This Row],[party]]</f>
        <v>party_3 G2</v>
      </c>
      <c r="G10" s="137" t="str">
        <f>guest_lists[[#This Row],[dietary_requirements2]]</f>
        <v>nil</v>
      </c>
      <c r="H10" s="4"/>
      <c r="I10" s="21"/>
    </row>
    <row r="11" spans="1:9" ht="15" customHeight="1" thickTop="1" x14ac:dyDescent="0.3">
      <c r="A11" s="212"/>
      <c r="B11" s="318" t="s">
        <v>511</v>
      </c>
      <c r="C11" s="215"/>
      <c r="D11" s="137" t="str">
        <f>guest_lists[[#This Row],[tour_type]]</f>
        <v>12 - DSCYT</v>
      </c>
      <c r="E11" s="137" t="str">
        <f>guest_lists[[#This Row],[guest_lists]]</f>
        <v>Joan Roberts</v>
      </c>
      <c r="F11" s="137" t="str">
        <f>guest_lists[[#This Row],[party]]</f>
        <v>party_4 G1</v>
      </c>
      <c r="G11" s="137" t="str">
        <f>guest_lists[[#This Row],[dietary_requirements2]]</f>
        <v>nil</v>
      </c>
      <c r="H11" s="4"/>
      <c r="I11" s="21"/>
    </row>
    <row r="12" spans="1:9" ht="15" customHeight="1" thickBot="1" x14ac:dyDescent="0.35">
      <c r="A12" s="212"/>
      <c r="B12" s="319"/>
      <c r="C12" s="215"/>
      <c r="D12" s="137" t="str">
        <f>guest_lists[[#This Row],[tour_type]]</f>
        <v>12 - DSCYT</v>
      </c>
      <c r="E12" s="137" t="str">
        <f>guest_lists[[#This Row],[guest_lists]]</f>
        <v>Valerie Mead</v>
      </c>
      <c r="F12" s="137" t="str">
        <f>guest_lists[[#This Row],[party]]</f>
        <v>party_4 G2</v>
      </c>
      <c r="G12" s="137" t="str">
        <f>guest_lists[[#This Row],[dietary_requirements2]]</f>
        <v>nil</v>
      </c>
      <c r="H12" s="128"/>
      <c r="I12" s="21"/>
    </row>
    <row r="13" spans="1:9" ht="16.8" thickTop="1" thickBot="1" x14ac:dyDescent="0.35">
      <c r="A13" s="212"/>
      <c r="B13" s="213"/>
      <c r="C13" s="215"/>
      <c r="D13" s="137" t="str">
        <f>guest_lists[[#This Row],[tour_type]]</f>
        <v>12 - DSCYT</v>
      </c>
      <c r="E13" s="137" t="str">
        <f>guest_lists[[#This Row],[guest_lists]]</f>
        <v>Ann Berriman</v>
      </c>
      <c r="F13" s="137" t="str">
        <f>guest_lists[[#This Row],[party]]</f>
        <v>party_5 G1</v>
      </c>
      <c r="G13" s="137" t="str">
        <f>guest_lists[[#This Row],[dietary_requirements2]]</f>
        <v>nil</v>
      </c>
      <c r="H13" s="128"/>
      <c r="I13" s="21"/>
    </row>
    <row r="14" spans="1:9" ht="15" customHeight="1" thickTop="1" x14ac:dyDescent="0.3">
      <c r="A14" s="212"/>
      <c r="B14" s="318" t="s">
        <v>512</v>
      </c>
      <c r="C14" s="215"/>
      <c r="D14" s="137" t="str">
        <f>guest_lists[[#This Row],[tour_type]]</f>
        <v>12 - DSCYT</v>
      </c>
      <c r="E14" s="137" t="str">
        <f>guest_lists[[#This Row],[guest_lists]]</f>
        <v>Wanda Drost</v>
      </c>
      <c r="F14" s="137" t="str">
        <f>guest_lists[[#This Row],[party]]</f>
        <v>party_5 G2</v>
      </c>
      <c r="G14" s="137" t="str">
        <f>guest_lists[[#This Row],[dietary_requirements2]]</f>
        <v>celiac</v>
      </c>
      <c r="H14" s="128"/>
      <c r="I14" s="21"/>
    </row>
    <row r="15" spans="1:9" ht="15" customHeight="1" thickBot="1" x14ac:dyDescent="0.35">
      <c r="A15" s="212"/>
      <c r="B15" s="319"/>
      <c r="C15" s="215"/>
      <c r="D15" s="137" t="str">
        <f>guest_lists[[#This Row],[tour_type]]</f>
        <v>5 - DTT</v>
      </c>
      <c r="E15" s="137" t="str">
        <f>guest_lists[[#This Row],[guest_lists]]</f>
        <v>Ian Neil</v>
      </c>
      <c r="F15" s="137" t="str">
        <f>guest_lists[[#This Row],[party]]</f>
        <v>party_6 G1</v>
      </c>
      <c r="G15" s="137" t="str">
        <f>guest_lists[[#This Row],[dietary_requirements2]]</f>
        <v>nil</v>
      </c>
      <c r="H15" s="4"/>
      <c r="I15" s="21"/>
    </row>
    <row r="16" spans="1:9" ht="16.8" thickTop="1" thickBot="1" x14ac:dyDescent="0.35">
      <c r="A16" s="212"/>
      <c r="B16" s="213"/>
      <c r="C16" s="215"/>
      <c r="D16" s="137" t="str">
        <f>guest_lists[[#This Row],[tour_type]]</f>
        <v>5 - DTT</v>
      </c>
      <c r="E16" s="137" t="str">
        <f>guest_lists[[#This Row],[guest_lists]]</f>
        <v>Graheme Fergueson</v>
      </c>
      <c r="F16" s="137" t="str">
        <f>guest_lists[[#This Row],[party]]</f>
        <v>party_6 G2</v>
      </c>
      <c r="G16" s="137" t="str">
        <f>guest_lists[[#This Row],[dietary_requirements2]]</f>
        <v>nil</v>
      </c>
      <c r="H16" s="4"/>
      <c r="I16" s="21"/>
    </row>
    <row r="17" spans="1:9" ht="15" thickTop="1" x14ac:dyDescent="0.3">
      <c r="A17" s="212"/>
      <c r="B17" s="318" t="s">
        <v>266</v>
      </c>
      <c r="C17" s="215"/>
      <c r="D17" s="137" t="str">
        <f>guest_lists[[#This Row],[tour_type]]</f>
        <v>9 - DPSYT</v>
      </c>
      <c r="E17" s="137" t="str">
        <f>guest_lists[[#This Row],[guest_lists]]</f>
        <v>Raewyn Brookie</v>
      </c>
      <c r="F17" s="137" t="str">
        <f>guest_lists[[#This Row],[party]]</f>
        <v>party_7 G1</v>
      </c>
      <c r="G17" s="137" t="str">
        <f>guest_lists[[#This Row],[dietary_requirements2]]</f>
        <v>nil</v>
      </c>
      <c r="H17" s="4"/>
      <c r="I17" s="21"/>
    </row>
    <row r="18" spans="1:9" ht="15" customHeight="1" thickBot="1" x14ac:dyDescent="0.35">
      <c r="A18" s="212"/>
      <c r="B18" s="319"/>
      <c r="C18" s="215"/>
      <c r="D18" s="325" t="s">
        <v>33</v>
      </c>
      <c r="E18" s="326"/>
      <c r="F18" s="326"/>
      <c r="G18" s="326"/>
      <c r="H18" s="326"/>
      <c r="I18" s="327"/>
    </row>
    <row r="19" spans="1:9" ht="15" customHeight="1" thickTop="1" thickBot="1" x14ac:dyDescent="0.35">
      <c r="A19" s="212"/>
      <c r="B19" s="213"/>
      <c r="C19" s="215"/>
      <c r="D19" s="129" t="str">
        <f>Runsheet!E8</f>
        <v>Accommodation Booked</v>
      </c>
      <c r="E19" s="73" t="str">
        <f>Runsheet!E9</f>
        <v>Accommodation Entity</v>
      </c>
      <c r="F19" s="73" t="str">
        <f>Runsheet!F9</f>
        <v>Address</v>
      </c>
      <c r="G19" s="73" t="str">
        <f>Runsheet!G9</f>
        <v>Number of rooms on hold</v>
      </c>
      <c r="H19" s="73" t="str">
        <f>Runsheet!H9</f>
        <v>Bedding Configuration Booked</v>
      </c>
      <c r="I19" s="130" t="str">
        <f>Runsheet!I9</f>
        <v>Contact Details</v>
      </c>
    </row>
    <row r="20" spans="1:9" ht="15" thickTop="1" x14ac:dyDescent="0.3">
      <c r="A20" s="212"/>
      <c r="B20" s="318" t="s">
        <v>267</v>
      </c>
      <c r="C20" s="215"/>
      <c r="D20" s="131" t="str">
        <f>Runsheet!D10</f>
        <v>Accommodation #1</v>
      </c>
      <c r="E20" s="61" t="str">
        <f>Runsheet!BQ10</f>
        <v>Punsand Bay</v>
      </c>
      <c r="F20" s="61" t="str">
        <f>Runsheet!BR10</f>
        <v>Lot 11 Punsand Bay via Bamaga QLD 4876</v>
      </c>
      <c r="G20" s="61">
        <f>Runsheet!BS10</f>
        <v>7</v>
      </c>
      <c r="H20" s="61">
        <f>Runsheet!BT10</f>
        <v>0</v>
      </c>
      <c r="I20" s="61" t="str">
        <f>Runsheet!BU10</f>
        <v>(07) 4069 1722</v>
      </c>
    </row>
    <row r="21" spans="1:9" ht="15" customHeight="1" thickBot="1" x14ac:dyDescent="0.35">
      <c r="A21" s="212"/>
      <c r="B21" s="319"/>
      <c r="C21" s="215"/>
      <c r="D21" s="131" t="str">
        <f>Runsheet!D11</f>
        <v>Accommodation #2</v>
      </c>
      <c r="E21" s="61" t="str">
        <f>Runsheet!BQ11</f>
        <v>A None</v>
      </c>
      <c r="F21" s="61">
        <f>Runsheet!BR11</f>
        <v>0</v>
      </c>
      <c r="G21" s="61">
        <f>Runsheet!BS11</f>
        <v>0</v>
      </c>
      <c r="H21" s="61">
        <f>Runsheet!BT11</f>
        <v>0</v>
      </c>
      <c r="I21" s="61">
        <f>Runsheet!BU11</f>
        <v>0</v>
      </c>
    </row>
    <row r="22" spans="1:9" ht="12.6" customHeight="1" thickTop="1" thickBot="1" x14ac:dyDescent="0.35">
      <c r="A22" s="212"/>
      <c r="B22" s="213"/>
      <c r="C22" s="215"/>
      <c r="D22" s="131" t="str">
        <f>Runsheet!D12</f>
        <v>Accommodation #3</v>
      </c>
      <c r="E22" s="61" t="str">
        <f>Runsheet!BQ12</f>
        <v>A None</v>
      </c>
      <c r="F22" s="61">
        <f>Runsheet!BR12</f>
        <v>0</v>
      </c>
      <c r="G22" s="61">
        <f>Runsheet!BS12</f>
        <v>0</v>
      </c>
      <c r="H22" s="61">
        <f>Runsheet!BT12</f>
        <v>0</v>
      </c>
      <c r="I22" s="61">
        <f>Runsheet!BU12</f>
        <v>0</v>
      </c>
    </row>
    <row r="23" spans="1:9" ht="15" thickTop="1" x14ac:dyDescent="0.3">
      <c r="A23" s="212"/>
      <c r="B23" s="318" t="s">
        <v>268</v>
      </c>
      <c r="C23" s="215"/>
      <c r="D23" s="131" t="str">
        <f>Runsheet!D13</f>
        <v>Accommodation #4</v>
      </c>
      <c r="E23" s="61" t="str">
        <f>Runsheet!BQ13</f>
        <v>A None</v>
      </c>
      <c r="F23" s="61">
        <f>Runsheet!BR13</f>
        <v>0</v>
      </c>
      <c r="G23" s="61">
        <f>Runsheet!BS13</f>
        <v>0</v>
      </c>
      <c r="H23" s="61">
        <f>Runsheet!BT13</f>
        <v>0</v>
      </c>
      <c r="I23" s="61">
        <f>Runsheet!BU13</f>
        <v>0</v>
      </c>
    </row>
    <row r="24" spans="1:9" ht="15.6" customHeight="1" thickBot="1" x14ac:dyDescent="0.35">
      <c r="A24" s="212"/>
      <c r="B24" s="319"/>
      <c r="C24" s="215"/>
      <c r="D24" s="19"/>
      <c r="E24" s="4"/>
      <c r="F24" s="20" t="str">
        <f>Runsheet!F14</f>
        <v xml:space="preserve">Total Accommodation </v>
      </c>
      <c r="G24" s="74">
        <f>Runsheet!AE14</f>
        <v>8</v>
      </c>
      <c r="H24" s="4"/>
      <c r="I24" s="21"/>
    </row>
    <row r="25" spans="1:9" ht="15.6" customHeight="1" thickTop="1" thickBot="1" x14ac:dyDescent="0.35">
      <c r="A25" s="212"/>
      <c r="B25" s="213"/>
      <c r="C25" s="215"/>
      <c r="D25" s="19"/>
      <c r="E25" s="4"/>
      <c r="F25" s="4"/>
      <c r="G25" s="4"/>
      <c r="H25" s="4"/>
      <c r="I25" s="21"/>
    </row>
    <row r="26" spans="1:9" ht="15" thickTop="1" x14ac:dyDescent="0.3">
      <c r="A26" s="212"/>
      <c r="B26" s="318" t="s">
        <v>269</v>
      </c>
      <c r="C26" s="215"/>
      <c r="D26" s="325" t="str">
        <f>Runsheet!D15</f>
        <v>Guests Accommodation</v>
      </c>
      <c r="E26" s="326"/>
      <c r="F26" s="326"/>
      <c r="G26" s="326"/>
      <c r="H26" s="326"/>
      <c r="I26" s="327"/>
    </row>
    <row r="27" spans="1:9" ht="15" customHeight="1" thickBot="1" x14ac:dyDescent="0.35">
      <c r="A27" s="212"/>
      <c r="B27" s="319"/>
      <c r="C27" s="215"/>
      <c r="D27" s="100" t="s">
        <v>195</v>
      </c>
      <c r="E27" s="76" t="s">
        <v>36</v>
      </c>
      <c r="F27" s="72" t="s">
        <v>33</v>
      </c>
      <c r="G27" s="20" t="s">
        <v>161</v>
      </c>
      <c r="H27" s="20" t="s">
        <v>186</v>
      </c>
      <c r="I27" s="48" t="s">
        <v>189</v>
      </c>
    </row>
    <row r="28" spans="1:9" ht="16.8" thickTop="1" thickBot="1" x14ac:dyDescent="0.35">
      <c r="A28" s="212"/>
      <c r="B28" s="213"/>
      <c r="C28" s="215"/>
      <c r="D28" s="353" t="str">
        <f>Runsheet!D17</f>
        <v>Party 1</v>
      </c>
      <c r="E28" s="65" t="str">
        <f>Runsheet!E17</f>
        <v>Penelope Lister</v>
      </c>
      <c r="F28" s="65" t="str">
        <f>Runsheet!BS17</f>
        <v>Punsand Bay</v>
      </c>
      <c r="G28" s="65" t="str">
        <f>Runsheet!BT17</f>
        <v>double</v>
      </c>
      <c r="H28" s="65">
        <f>Runsheet!BU17</f>
        <v>0</v>
      </c>
      <c r="I28" s="314" t="str">
        <f>Runsheet!BV17</f>
        <v>1x Beach Ensuite Cabin w/ensuite (1)</v>
      </c>
    </row>
    <row r="29" spans="1:9" ht="15" thickTop="1" x14ac:dyDescent="0.3">
      <c r="A29" s="212"/>
      <c r="B29" s="318" t="s">
        <v>270</v>
      </c>
      <c r="C29" s="215"/>
      <c r="D29" s="353"/>
      <c r="E29" s="65" t="str">
        <f>Runsheet!E18</f>
        <v>Gerald Lister</v>
      </c>
      <c r="F29" s="65" t="str">
        <f>Runsheet!BS18</f>
        <v>Punsand Bay</v>
      </c>
      <c r="G29" s="65" t="str">
        <f>Runsheet!BT18</f>
        <v>double</v>
      </c>
      <c r="H29" s="65">
        <f>Runsheet!BU18</f>
        <v>0</v>
      </c>
      <c r="I29" s="314" t="str">
        <f>Runsheet!BV18</f>
        <v>1x Beach Ensuite Cabin w/ensuite (1)</v>
      </c>
    </row>
    <row r="30" spans="1:9" ht="15" thickBot="1" x14ac:dyDescent="0.35">
      <c r="A30" s="212"/>
      <c r="B30" s="319"/>
      <c r="C30" s="215"/>
      <c r="D30" s="353" t="str">
        <f>Runsheet!D19</f>
        <v>Party 2</v>
      </c>
      <c r="E30" s="65" t="str">
        <f>Runsheet!E19</f>
        <v>Denis Lister</v>
      </c>
      <c r="F30" s="65" t="str">
        <f>Runsheet!BS19</f>
        <v>Punsand Bay</v>
      </c>
      <c r="G30" s="65" t="str">
        <f>Runsheet!BT19</f>
        <v>double</v>
      </c>
      <c r="H30" s="65">
        <f>Runsheet!BU19</f>
        <v>0</v>
      </c>
      <c r="I30" s="314" t="str">
        <f>Runsheet!BV19</f>
        <v>1x Beach Ensuite Cabin w/ensuite (1)</v>
      </c>
    </row>
    <row r="31" spans="1:9" ht="15" customHeight="1" thickTop="1" thickBot="1" x14ac:dyDescent="0.35">
      <c r="A31" s="212"/>
      <c r="B31" s="213"/>
      <c r="C31" s="215"/>
      <c r="D31" s="353"/>
      <c r="E31" s="65" t="e">
        <f>Runsheet!E20</f>
        <v>#N/A</v>
      </c>
      <c r="F31" s="65">
        <f>Runsheet!BS20</f>
        <v>0</v>
      </c>
      <c r="G31" s="65">
        <f>Runsheet!BT20</f>
        <v>0</v>
      </c>
      <c r="H31" s="65">
        <f>Runsheet!BU20</f>
        <v>0</v>
      </c>
      <c r="I31" s="314">
        <f>Runsheet!BV20</f>
        <v>0</v>
      </c>
    </row>
    <row r="32" spans="1:9" ht="15" thickTop="1" x14ac:dyDescent="0.3">
      <c r="A32" s="212"/>
      <c r="B32" s="318" t="s">
        <v>271</v>
      </c>
      <c r="C32" s="215"/>
      <c r="D32" s="353" t="str">
        <f>Runsheet!D21</f>
        <v>Party 3</v>
      </c>
      <c r="E32" s="65" t="str">
        <f>Runsheet!E21</f>
        <v>Mark Morgan</v>
      </c>
      <c r="F32" s="65" t="str">
        <f>Runsheet!BS21</f>
        <v>Punsand Bay</v>
      </c>
      <c r="G32" s="65" t="str">
        <f>Runsheet!BT21</f>
        <v>double</v>
      </c>
      <c r="H32" s="65">
        <f>Runsheet!BU21</f>
        <v>0</v>
      </c>
      <c r="I32" s="314" t="str">
        <f>Runsheet!BV21</f>
        <v>1x Beach Ensuite Cabin w/ensuit</v>
      </c>
    </row>
    <row r="33" spans="1:9" ht="15" thickBot="1" x14ac:dyDescent="0.35">
      <c r="A33" s="212"/>
      <c r="B33" s="319"/>
      <c r="C33" s="215"/>
      <c r="D33" s="353"/>
      <c r="E33" s="65" t="str">
        <f>Runsheet!E22</f>
        <v>Nicola Morgan</v>
      </c>
      <c r="F33" s="65" t="str">
        <f>Runsheet!BS22</f>
        <v>Punsand Bay</v>
      </c>
      <c r="G33" s="65" t="str">
        <f>Runsheet!BT22</f>
        <v>double</v>
      </c>
      <c r="H33" s="65">
        <f>Runsheet!BU22</f>
        <v>0</v>
      </c>
      <c r="I33" s="314" t="str">
        <f>Runsheet!BV22</f>
        <v>1x Beach Ensuite Cabin w/ensuit</v>
      </c>
    </row>
    <row r="34" spans="1:9" ht="16.8" thickTop="1" thickBot="1" x14ac:dyDescent="0.35">
      <c r="A34" s="212"/>
      <c r="B34" s="213"/>
      <c r="C34" s="215"/>
      <c r="D34" s="353" t="str">
        <f>Runsheet!D23</f>
        <v>Party 4</v>
      </c>
      <c r="E34" s="65" t="str">
        <f>Runsheet!E23</f>
        <v>Joan Roberts</v>
      </c>
      <c r="F34" s="65" t="str">
        <f>Runsheet!BS23</f>
        <v>Punsand Bay</v>
      </c>
      <c r="G34" s="65" t="str">
        <f>Runsheet!BT23</f>
        <v>double</v>
      </c>
      <c r="H34" s="65">
        <f>Runsheet!BU23</f>
        <v>0</v>
      </c>
      <c r="I34" s="314" t="str">
        <f>Runsheet!BV23</f>
        <v xml:space="preserve">1x Beach Ensuite Cabin w/ensuite </v>
      </c>
    </row>
    <row r="35" spans="1:9" ht="15" thickTop="1" x14ac:dyDescent="0.3">
      <c r="A35" s="212"/>
      <c r="B35" s="318" t="s">
        <v>272</v>
      </c>
      <c r="C35" s="215"/>
      <c r="D35" s="353"/>
      <c r="E35" s="65" t="str">
        <f>Runsheet!E24</f>
        <v>Valerie Mead</v>
      </c>
      <c r="F35" s="65" t="str">
        <f>Runsheet!BS24</f>
        <v>Punsand Bay</v>
      </c>
      <c r="G35" s="65" t="str">
        <f>Runsheet!BT24</f>
        <v>double</v>
      </c>
      <c r="H35" s="65">
        <f>Runsheet!BU24</f>
        <v>0</v>
      </c>
      <c r="I35" s="314" t="str">
        <f>Runsheet!BV24</f>
        <v xml:space="preserve">1x Beach Ensuite Cabin w/ensuite </v>
      </c>
    </row>
    <row r="36" spans="1:9" ht="15" thickBot="1" x14ac:dyDescent="0.35">
      <c r="A36" s="212"/>
      <c r="B36" s="319"/>
      <c r="C36" s="215"/>
      <c r="D36" s="353" t="str">
        <f>Runsheet!D25</f>
        <v>Party 5</v>
      </c>
      <c r="E36" s="65" t="str">
        <f>Runsheet!E25</f>
        <v>Ann Berriman</v>
      </c>
      <c r="F36" s="65" t="str">
        <f>Runsheet!BS25</f>
        <v>Punsand Bay</v>
      </c>
      <c r="G36" s="65" t="str">
        <f>Runsheet!BT25</f>
        <v>double</v>
      </c>
      <c r="H36" s="65">
        <f>Runsheet!BU25</f>
        <v>0</v>
      </c>
      <c r="I36" s="314" t="str">
        <f>Runsheet!BV25</f>
        <v xml:space="preserve">1x Beach Ensuite Cabin w/ensuite </v>
      </c>
    </row>
    <row r="37" spans="1:9" ht="16.8" thickTop="1" thickBot="1" x14ac:dyDescent="0.35">
      <c r="A37" s="212"/>
      <c r="B37" s="213"/>
      <c r="C37" s="215"/>
      <c r="D37" s="353"/>
      <c r="E37" s="65" t="str">
        <f>Runsheet!E26</f>
        <v>Wanda Drost</v>
      </c>
      <c r="F37" s="65" t="str">
        <f>Runsheet!BS26</f>
        <v>Punsand Bay</v>
      </c>
      <c r="G37" s="65" t="str">
        <f>Runsheet!BT26</f>
        <v>double</v>
      </c>
      <c r="H37" s="65">
        <f>Runsheet!BU26</f>
        <v>0</v>
      </c>
      <c r="I37" s="314" t="str">
        <f>Runsheet!BV26</f>
        <v xml:space="preserve">1x Beach Ensuite Cabin w/ensuite </v>
      </c>
    </row>
    <row r="38" spans="1:9" ht="15" thickTop="1" x14ac:dyDescent="0.3">
      <c r="A38" s="212"/>
      <c r="B38" s="318" t="s">
        <v>273</v>
      </c>
      <c r="C38" s="215"/>
      <c r="D38" s="353" t="str">
        <f>Runsheet!D27</f>
        <v>Party 6</v>
      </c>
      <c r="E38" s="65" t="str">
        <f>Runsheet!E27</f>
        <v>Ian Neil</v>
      </c>
      <c r="F38" s="65">
        <f>Runsheet!BS27</f>
        <v>0</v>
      </c>
      <c r="G38" s="65">
        <f>Runsheet!BT27</f>
        <v>0</v>
      </c>
      <c r="H38" s="65">
        <f>Runsheet!BU27</f>
        <v>0</v>
      </c>
      <c r="I38" s="314">
        <f>Runsheet!BV27</f>
        <v>0</v>
      </c>
    </row>
    <row r="39" spans="1:9" ht="15" customHeight="1" thickBot="1" x14ac:dyDescent="0.35">
      <c r="A39" s="212"/>
      <c r="B39" s="319"/>
      <c r="C39" s="215"/>
      <c r="D39" s="353"/>
      <c r="E39" s="65" t="str">
        <f>Runsheet!E28</f>
        <v>Graheme Fergueson</v>
      </c>
      <c r="F39" s="65">
        <f>Runsheet!BS28</f>
        <v>0</v>
      </c>
      <c r="G39" s="65">
        <f>Runsheet!BT28</f>
        <v>0</v>
      </c>
      <c r="H39" s="65">
        <f>Runsheet!BU28</f>
        <v>0</v>
      </c>
      <c r="I39" s="314">
        <f>Runsheet!BV28</f>
        <v>0</v>
      </c>
    </row>
    <row r="40" spans="1:9" ht="14.4" customHeight="1" thickTop="1" thickBot="1" x14ac:dyDescent="0.35">
      <c r="A40" s="212"/>
      <c r="B40" s="213"/>
      <c r="C40" s="215"/>
      <c r="D40" s="353" t="str">
        <f>Runsheet!D29</f>
        <v>Party 7</v>
      </c>
      <c r="E40" s="65" t="str">
        <f>Runsheet!E29</f>
        <v>Raewyn Brookie</v>
      </c>
      <c r="F40" s="65" t="str">
        <f>Runsheet!BS29</f>
        <v>Punsand Bay</v>
      </c>
      <c r="G40" s="65">
        <f>Runsheet!BT29</f>
        <v>0</v>
      </c>
      <c r="H40" s="65">
        <f>Runsheet!BU29</f>
        <v>0</v>
      </c>
      <c r="I40" s="314" t="str">
        <f>Runsheet!BV29</f>
        <v>1 x safari tent</v>
      </c>
    </row>
    <row r="41" spans="1:9" ht="15" customHeight="1" thickTop="1" x14ac:dyDescent="0.3">
      <c r="A41" s="212"/>
      <c r="B41" s="318" t="s">
        <v>274</v>
      </c>
      <c r="C41" s="215"/>
      <c r="D41" s="353"/>
      <c r="E41" s="65" t="e">
        <f>Runsheet!E30</f>
        <v>#N/A</v>
      </c>
      <c r="F41" s="65">
        <f>Runsheet!BS30</f>
        <v>0</v>
      </c>
      <c r="G41" s="65">
        <f>Runsheet!BT30</f>
        <v>0</v>
      </c>
      <c r="H41" s="65">
        <f>Runsheet!BU30</f>
        <v>0</v>
      </c>
      <c r="I41" s="314">
        <f>Runsheet!BV30</f>
        <v>0</v>
      </c>
    </row>
    <row r="42" spans="1:9" ht="15" thickBot="1" x14ac:dyDescent="0.35">
      <c r="A42" s="212"/>
      <c r="B42" s="319"/>
      <c r="C42" s="215"/>
      <c r="D42" s="325" t="str">
        <f>Runsheet!D36</f>
        <v>Dinning Arrangements</v>
      </c>
      <c r="E42" s="326"/>
      <c r="F42" s="326"/>
      <c r="G42" s="326"/>
      <c r="H42" s="326"/>
      <c r="I42" s="327"/>
    </row>
    <row r="43" spans="1:9" ht="15" customHeight="1" thickTop="1" thickBot="1" x14ac:dyDescent="0.35">
      <c r="A43" s="212"/>
      <c r="B43" s="213"/>
      <c r="C43" s="215"/>
      <c r="D43" s="19"/>
      <c r="E43" s="4"/>
      <c r="F43" s="4"/>
      <c r="G43" s="4"/>
      <c r="H43" s="4"/>
      <c r="I43" s="21"/>
    </row>
    <row r="44" spans="1:9" ht="15" customHeight="1" thickTop="1" x14ac:dyDescent="0.3">
      <c r="A44" s="212"/>
      <c r="B44" s="318" t="s">
        <v>275</v>
      </c>
      <c r="C44" s="215"/>
      <c r="D44" s="328" t="str">
        <f>Runsheet!D37</f>
        <v xml:space="preserve">Breakfast </v>
      </c>
      <c r="E44" s="329" t="str">
        <f>Runsheet!BQ37</f>
        <v>cook breakfast</v>
      </c>
      <c r="F44" s="330"/>
      <c r="G44" s="330"/>
      <c r="H44" s="330"/>
      <c r="I44" s="331"/>
    </row>
    <row r="45" spans="1:9" ht="15" thickBot="1" x14ac:dyDescent="0.35">
      <c r="A45" s="212"/>
      <c r="B45" s="319"/>
      <c r="C45" s="215"/>
      <c r="D45" s="328"/>
      <c r="E45" s="332"/>
      <c r="F45" s="333"/>
      <c r="G45" s="333"/>
      <c r="H45" s="333"/>
      <c r="I45" s="334"/>
    </row>
    <row r="46" spans="1:9" ht="57.6" customHeight="1" thickTop="1" thickBot="1" x14ac:dyDescent="0.35">
      <c r="A46" s="212"/>
      <c r="B46" s="213"/>
      <c r="C46" s="215"/>
      <c r="D46" s="328" t="str">
        <f>Runsheet!D39</f>
        <v xml:space="preserve">Lunch </v>
      </c>
      <c r="E46" s="329" t="str">
        <f>Runsheet!BQ39</f>
        <v>cook lunch</v>
      </c>
      <c r="F46" s="330"/>
      <c r="G46" s="330"/>
      <c r="H46" s="330"/>
      <c r="I46" s="331"/>
    </row>
    <row r="47" spans="1:9" ht="15" customHeight="1" thickTop="1" x14ac:dyDescent="0.3">
      <c r="A47" s="212"/>
      <c r="B47" s="318" t="s">
        <v>276</v>
      </c>
      <c r="C47" s="215"/>
      <c r="D47" s="328"/>
      <c r="E47" s="332"/>
      <c r="F47" s="333"/>
      <c r="G47" s="333"/>
      <c r="H47" s="333"/>
      <c r="I47" s="334"/>
    </row>
    <row r="48" spans="1:9" ht="28.8" customHeight="1" thickBot="1" x14ac:dyDescent="0.35">
      <c r="A48" s="212"/>
      <c r="B48" s="319"/>
      <c r="C48" s="215"/>
      <c r="D48" s="328" t="str">
        <f>Runsheet!D41</f>
        <v xml:space="preserve">Dinner </v>
      </c>
      <c r="E48" s="329" t="str">
        <f>Runsheet!BQ41</f>
        <v>cook dinner</v>
      </c>
      <c r="F48" s="330"/>
      <c r="G48" s="330"/>
      <c r="H48" s="330"/>
      <c r="I48" s="331"/>
    </row>
    <row r="49" spans="1:9" ht="15" customHeight="1" thickTop="1" thickBot="1" x14ac:dyDescent="0.35">
      <c r="A49" s="212"/>
      <c r="B49" s="213"/>
      <c r="C49" s="215"/>
      <c r="D49" s="328"/>
      <c r="E49" s="332"/>
      <c r="F49" s="333"/>
      <c r="G49" s="333"/>
      <c r="H49" s="333"/>
      <c r="I49" s="334"/>
    </row>
    <row r="50" spans="1:9" ht="15" customHeight="1" thickTop="1" x14ac:dyDescent="0.3">
      <c r="A50" s="212"/>
      <c r="B50" s="318" t="s">
        <v>277</v>
      </c>
      <c r="C50" s="215"/>
      <c r="D50" s="134"/>
      <c r="E50" s="142"/>
      <c r="F50" s="142"/>
      <c r="G50" s="142"/>
      <c r="H50" s="142"/>
      <c r="I50" s="143"/>
    </row>
    <row r="51" spans="1:9" ht="15" thickBot="1" x14ac:dyDescent="0.35">
      <c r="A51" s="212"/>
      <c r="B51" s="319"/>
      <c r="C51" s="215"/>
      <c r="D51" s="325" t="s">
        <v>210</v>
      </c>
      <c r="E51" s="326"/>
      <c r="F51" s="326"/>
      <c r="G51" s="326"/>
      <c r="H51" s="326"/>
      <c r="I51" s="327"/>
    </row>
    <row r="52" spans="1:9" ht="15" customHeight="1" thickTop="1" x14ac:dyDescent="0.3">
      <c r="A52" s="212"/>
      <c r="B52" s="213"/>
      <c r="C52" s="215"/>
      <c r="D52" s="360" t="str">
        <f>Runsheet!BP44</f>
        <v xml:space="preserve">Start of Tele Track/Fruit Bat Falls/Tip of Australia if time permits </v>
      </c>
      <c r="E52" s="360"/>
      <c r="F52" s="360"/>
      <c r="G52" s="360"/>
      <c r="H52" s="360"/>
      <c r="I52" s="360"/>
    </row>
    <row r="53" spans="1:9" ht="15" customHeight="1" x14ac:dyDescent="0.3">
      <c r="A53" s="212"/>
      <c r="B53" s="213"/>
      <c r="C53" s="215"/>
      <c r="D53" s="360"/>
      <c r="E53" s="360"/>
      <c r="F53" s="360"/>
      <c r="G53" s="360"/>
      <c r="H53" s="360"/>
      <c r="I53" s="360"/>
    </row>
    <row r="54" spans="1:9" x14ac:dyDescent="0.3">
      <c r="A54" s="212"/>
      <c r="B54" s="231"/>
      <c r="C54" s="215"/>
      <c r="D54" s="360">
        <f>Runsheet!BP45</f>
        <v>0</v>
      </c>
      <c r="E54" s="360"/>
      <c r="F54" s="360"/>
      <c r="G54" s="360"/>
      <c r="H54" s="360"/>
      <c r="I54" s="360"/>
    </row>
    <row r="55" spans="1:9" x14ac:dyDescent="0.3">
      <c r="A55" s="212"/>
      <c r="B55" s="231"/>
      <c r="C55" s="215"/>
      <c r="D55" s="360"/>
      <c r="E55" s="360"/>
      <c r="F55" s="360"/>
      <c r="G55" s="360"/>
      <c r="H55" s="360"/>
      <c r="I55" s="360"/>
    </row>
    <row r="56" spans="1:9" x14ac:dyDescent="0.3">
      <c r="A56" s="212"/>
      <c r="B56" s="213"/>
      <c r="C56" s="215"/>
      <c r="D56" s="325" t="s">
        <v>368</v>
      </c>
      <c r="E56" s="326"/>
      <c r="F56" s="326"/>
      <c r="G56" s="326"/>
      <c r="H56" s="326"/>
      <c r="I56" s="327"/>
    </row>
    <row r="57" spans="1:9" x14ac:dyDescent="0.3">
      <c r="A57" s="212"/>
      <c r="B57" s="213"/>
      <c r="C57" s="215"/>
      <c r="D57" s="232"/>
      <c r="E57" s="242" t="str" cm="1">
        <f t="array" ref="E57:H57">day_9_itinerary_highlights[]</f>
        <v>Gunshot creek crossing</v>
      </c>
      <c r="F57" s="138" t="str">
        <v>Elliot Falls and Fruit Bat Falls</v>
      </c>
      <c r="G57" s="138" t="str">
        <v>Jardine River</v>
      </c>
      <c r="H57" s="138">
        <v>0</v>
      </c>
      <c r="I57" s="233"/>
    </row>
    <row r="58" spans="1:9" x14ac:dyDescent="0.3">
      <c r="A58" s="212"/>
      <c r="B58" s="213"/>
      <c r="C58" s="215"/>
      <c r="D58" s="234"/>
      <c r="E58" s="235"/>
      <c r="F58" s="235"/>
      <c r="G58" s="235"/>
      <c r="H58" s="235"/>
      <c r="I58" s="236"/>
    </row>
    <row r="59" spans="1:9" x14ac:dyDescent="0.3">
      <c r="A59" s="212"/>
      <c r="B59" s="213"/>
      <c r="C59" s="215"/>
      <c r="D59" s="234"/>
      <c r="E59" s="235"/>
      <c r="F59" s="235"/>
      <c r="G59" s="235"/>
      <c r="H59" s="235"/>
      <c r="I59" s="236"/>
    </row>
    <row r="60" spans="1:9" x14ac:dyDescent="0.3">
      <c r="A60" s="212"/>
      <c r="B60" s="213"/>
      <c r="C60" s="215"/>
      <c r="D60" s="325" t="s">
        <v>209</v>
      </c>
      <c r="E60" s="326"/>
      <c r="F60" s="326"/>
      <c r="G60" s="326"/>
      <c r="H60" s="326"/>
      <c r="I60" s="327"/>
    </row>
    <row r="61" spans="1:9" x14ac:dyDescent="0.3">
      <c r="A61" s="212"/>
      <c r="B61" s="213"/>
      <c r="C61" s="215"/>
      <c r="D61" s="359" t="s">
        <v>97</v>
      </c>
      <c r="E61" s="33" t="s">
        <v>11</v>
      </c>
      <c r="F61" s="39" t="str">
        <f>'Rest Runsheet Food'!V10</f>
        <v>Continental</v>
      </c>
      <c r="G61" s="39">
        <f>'Rest Runsheet Food'!W10</f>
        <v>11</v>
      </c>
      <c r="H61" s="4"/>
      <c r="I61" s="21"/>
    </row>
    <row r="62" spans="1:9" x14ac:dyDescent="0.3">
      <c r="A62" s="212"/>
      <c r="B62" s="213"/>
      <c r="C62" s="215"/>
      <c r="D62" s="339"/>
      <c r="E62" s="30" t="s">
        <v>9</v>
      </c>
      <c r="F62" s="39" t="str">
        <f>'Rest Runsheet Food'!V11</f>
        <v>Potato Salad with Chirizo</v>
      </c>
      <c r="G62" s="39">
        <f>'Rest Runsheet Food'!W11</f>
        <v>11</v>
      </c>
      <c r="H62" s="4"/>
      <c r="I62" s="21"/>
    </row>
    <row r="63" spans="1:9" x14ac:dyDescent="0.3">
      <c r="A63" s="212"/>
      <c r="B63" s="213"/>
      <c r="C63" s="215"/>
      <c r="D63" s="340"/>
      <c r="E63" s="34" t="s">
        <v>1</v>
      </c>
      <c r="F63" s="39" t="str">
        <f>'Rest Runsheet Food'!V12</f>
        <v>N/A</v>
      </c>
      <c r="G63" s="39">
        <f>'Rest Runsheet Food'!W12</f>
        <v>0</v>
      </c>
      <c r="H63" s="4"/>
      <c r="I63" s="21"/>
    </row>
    <row r="64" spans="1:9" x14ac:dyDescent="0.3">
      <c r="A64" s="212"/>
      <c r="B64" s="213"/>
      <c r="C64" s="215"/>
      <c r="D64" s="19"/>
      <c r="E64" s="4"/>
      <c r="F64" s="4"/>
      <c r="G64" s="4"/>
      <c r="H64" s="4"/>
      <c r="I64" s="21"/>
    </row>
    <row r="65" spans="1:9" x14ac:dyDescent="0.3">
      <c r="A65" s="212"/>
      <c r="B65" s="213"/>
      <c r="C65" s="215"/>
      <c r="D65" s="19"/>
      <c r="E65" s="4"/>
      <c r="F65" s="141" t="s">
        <v>76</v>
      </c>
      <c r="G65" s="38" t="s">
        <v>77</v>
      </c>
      <c r="H65" s="4"/>
      <c r="I65" s="21"/>
    </row>
    <row r="66" spans="1:9" x14ac:dyDescent="0.3">
      <c r="A66" s="212"/>
      <c r="B66" s="213"/>
      <c r="C66" s="215"/>
      <c r="D66" s="341" t="s">
        <v>120</v>
      </c>
      <c r="E66" s="33" t="s">
        <v>11</v>
      </c>
      <c r="F66" s="39" t="str">
        <f>'Rest Runsheet Food'!V20</f>
        <v>Continental</v>
      </c>
      <c r="G66" s="39">
        <f>'Rest Runsheet Food'!W20</f>
        <v>1</v>
      </c>
      <c r="H66" s="4"/>
      <c r="I66" s="21"/>
    </row>
    <row r="67" spans="1:9" x14ac:dyDescent="0.3">
      <c r="A67" s="212"/>
      <c r="B67" s="213"/>
      <c r="C67" s="215"/>
      <c r="D67" s="342"/>
      <c r="E67" s="30" t="s">
        <v>9</v>
      </c>
      <c r="F67" s="39" t="str">
        <f>'Rest Runsheet Food'!V21</f>
        <v>Potato Salad with Chirizo</v>
      </c>
      <c r="G67" s="39">
        <f>'Rest Runsheet Food'!W21</f>
        <v>1</v>
      </c>
      <c r="H67" s="4"/>
      <c r="I67" s="21"/>
    </row>
    <row r="68" spans="1:9" x14ac:dyDescent="0.3">
      <c r="A68" s="212"/>
      <c r="B68" s="213"/>
      <c r="C68" s="215"/>
      <c r="D68" s="343"/>
      <c r="E68" s="34" t="s">
        <v>1</v>
      </c>
      <c r="F68" s="39" t="str">
        <f>'Rest Runsheet Food'!V22</f>
        <v>N/A</v>
      </c>
      <c r="G68" s="39">
        <f>'Rest Runsheet Food'!W22</f>
        <v>0</v>
      </c>
      <c r="H68" s="4"/>
      <c r="I68" s="21"/>
    </row>
    <row r="69" spans="1:9" x14ac:dyDescent="0.3">
      <c r="A69" s="212"/>
      <c r="B69" s="213"/>
      <c r="C69" s="215"/>
      <c r="D69" s="19"/>
      <c r="E69" s="4"/>
      <c r="F69" s="4"/>
      <c r="G69" s="4"/>
      <c r="H69" s="4"/>
      <c r="I69" s="21"/>
    </row>
    <row r="70" spans="1:9" x14ac:dyDescent="0.3">
      <c r="A70" s="212"/>
      <c r="B70" s="213"/>
      <c r="C70" s="215"/>
      <c r="D70" s="19"/>
      <c r="E70" s="4"/>
      <c r="F70" s="141" t="s">
        <v>76</v>
      </c>
      <c r="G70" s="38" t="s">
        <v>77</v>
      </c>
      <c r="H70" s="4"/>
      <c r="I70" s="21"/>
    </row>
    <row r="71" spans="1:9" x14ac:dyDescent="0.3">
      <c r="A71" s="212"/>
      <c r="B71" s="213"/>
      <c r="C71" s="215"/>
      <c r="D71" s="344" t="s">
        <v>123</v>
      </c>
      <c r="E71" s="33" t="s">
        <v>11</v>
      </c>
      <c r="F71" s="39" t="str">
        <f>'Rest Runsheet Food'!V29</f>
        <v>Continental</v>
      </c>
      <c r="G71" s="39">
        <f>'Rest Runsheet Food'!W29</f>
        <v>0</v>
      </c>
      <c r="H71" s="4"/>
      <c r="I71" s="21"/>
    </row>
    <row r="72" spans="1:9" x14ac:dyDescent="0.3">
      <c r="A72" s="212"/>
      <c r="B72" s="213"/>
      <c r="C72" s="215"/>
      <c r="D72" s="345"/>
      <c r="E72" s="30" t="s">
        <v>9</v>
      </c>
      <c r="F72" s="39" t="str">
        <f>'Rest Runsheet Food'!V30</f>
        <v>Potato Salad with Chirizo</v>
      </c>
      <c r="G72" s="39">
        <f>'Rest Runsheet Food'!W30</f>
        <v>0</v>
      </c>
      <c r="H72" s="4"/>
      <c r="I72" s="21"/>
    </row>
    <row r="73" spans="1:9" x14ac:dyDescent="0.3">
      <c r="C73" s="218"/>
      <c r="D73" s="346"/>
      <c r="E73" s="34" t="s">
        <v>1</v>
      </c>
      <c r="F73" s="39" t="str">
        <f>'Rest Runsheet Food'!V31</f>
        <v>N/A</v>
      </c>
      <c r="G73" s="39">
        <f>'Rest Runsheet Food'!W31</f>
        <v>0</v>
      </c>
      <c r="H73" s="4"/>
      <c r="I73" s="21"/>
    </row>
    <row r="74" spans="1:9" x14ac:dyDescent="0.3">
      <c r="C74" s="218"/>
      <c r="D74" s="19"/>
      <c r="E74" s="4"/>
      <c r="F74" s="4"/>
      <c r="G74" s="4"/>
      <c r="H74" s="4"/>
      <c r="I74" s="21"/>
    </row>
    <row r="75" spans="1:9" x14ac:dyDescent="0.3">
      <c r="C75" s="218"/>
      <c r="D75" s="19"/>
      <c r="E75" s="4"/>
      <c r="F75" s="141" t="s">
        <v>76</v>
      </c>
      <c r="G75" s="38" t="s">
        <v>77</v>
      </c>
      <c r="H75" s="4"/>
      <c r="I75" s="21"/>
    </row>
    <row r="76" spans="1:9" x14ac:dyDescent="0.3">
      <c r="C76" s="218"/>
      <c r="D76" s="349" t="s">
        <v>126</v>
      </c>
      <c r="E76" s="33" t="s">
        <v>11</v>
      </c>
      <c r="F76" s="39" t="str">
        <f>'Rest Runsheet Food'!V38</f>
        <v>Continental</v>
      </c>
      <c r="G76" s="39">
        <f>'Rest Runsheet Food'!W38</f>
        <v>0</v>
      </c>
      <c r="H76" s="4"/>
      <c r="I76" s="21"/>
    </row>
    <row r="77" spans="1:9" ht="19.8" customHeight="1" x14ac:dyDescent="0.3">
      <c r="C77" s="218"/>
      <c r="D77" s="350"/>
      <c r="E77" s="30" t="s">
        <v>9</v>
      </c>
      <c r="F77" s="39" t="str">
        <f>'Rest Runsheet Food'!V39</f>
        <v>Potato Salad with Chirizo</v>
      </c>
      <c r="G77" s="39">
        <f>'Rest Runsheet Food'!W39</f>
        <v>0</v>
      </c>
      <c r="H77" s="4"/>
      <c r="I77" s="21"/>
    </row>
    <row r="78" spans="1:9" x14ac:dyDescent="0.3">
      <c r="C78" s="218"/>
      <c r="D78" s="357"/>
      <c r="E78" s="34" t="s">
        <v>1</v>
      </c>
      <c r="F78" s="39" t="str">
        <f>'Rest Runsheet Food'!V40</f>
        <v>N/A</v>
      </c>
      <c r="G78" s="39">
        <f>'Rest Runsheet Food'!W40</f>
        <v>0</v>
      </c>
      <c r="H78" s="4"/>
      <c r="I78" s="21"/>
    </row>
    <row r="79" spans="1:9" x14ac:dyDescent="0.3">
      <c r="C79" s="218"/>
      <c r="D79" s="141"/>
      <c r="E79" s="30"/>
      <c r="F79" s="4"/>
      <c r="G79" s="4"/>
      <c r="H79" s="4"/>
      <c r="I79" s="21"/>
    </row>
    <row r="80" spans="1:9" x14ac:dyDescent="0.3">
      <c r="C80" s="218"/>
      <c r="D80" s="19"/>
      <c r="E80" s="4"/>
      <c r="F80" s="141" t="s">
        <v>76</v>
      </c>
      <c r="G80" s="38" t="s">
        <v>77</v>
      </c>
      <c r="H80" s="4"/>
      <c r="I80" s="21"/>
    </row>
    <row r="81" spans="3:9" x14ac:dyDescent="0.3">
      <c r="C81" s="218"/>
      <c r="D81" s="358" t="s">
        <v>128</v>
      </c>
      <c r="E81" s="33" t="s">
        <v>11</v>
      </c>
      <c r="F81" s="39" t="str">
        <f>'Rest Runsheet Food'!V47</f>
        <v>Continental</v>
      </c>
      <c r="G81" s="39">
        <f>'Rest Runsheet Food'!W47</f>
        <v>0</v>
      </c>
      <c r="H81" s="4"/>
      <c r="I81" s="21"/>
    </row>
    <row r="82" spans="3:9" x14ac:dyDescent="0.3">
      <c r="C82" s="218"/>
      <c r="D82" s="347"/>
      <c r="E82" s="30" t="s">
        <v>9</v>
      </c>
      <c r="F82" s="39" t="str">
        <f>'Rest Runsheet Food'!V48</f>
        <v>Potato Salad with Chirizo</v>
      </c>
      <c r="G82" s="39">
        <f>'Rest Runsheet Food'!W48</f>
        <v>0</v>
      </c>
      <c r="H82" s="4"/>
      <c r="I82" s="21"/>
    </row>
    <row r="83" spans="3:9" x14ac:dyDescent="0.3">
      <c r="C83" s="218"/>
      <c r="D83" s="348"/>
      <c r="E83" s="34" t="s">
        <v>1</v>
      </c>
      <c r="F83" s="39" t="str">
        <f>'Rest Runsheet Food'!V49</f>
        <v>N/A</v>
      </c>
      <c r="G83" s="39">
        <f>'Rest Runsheet Food'!W49</f>
        <v>0</v>
      </c>
      <c r="H83" s="4"/>
      <c r="I83" s="21"/>
    </row>
    <row r="84" spans="3:9" x14ac:dyDescent="0.3">
      <c r="C84" s="218"/>
      <c r="D84" s="141"/>
      <c r="E84" s="30"/>
      <c r="F84" s="4"/>
      <c r="G84" s="4"/>
      <c r="H84" s="4"/>
      <c r="I84" s="21"/>
    </row>
    <row r="85" spans="3:9" x14ac:dyDescent="0.3">
      <c r="C85" s="218"/>
      <c r="D85" s="19"/>
      <c r="E85" s="4"/>
      <c r="F85" s="141" t="s">
        <v>76</v>
      </c>
      <c r="G85" s="38" t="s">
        <v>77</v>
      </c>
      <c r="H85" s="4"/>
      <c r="I85" s="21"/>
    </row>
    <row r="86" spans="3:9" x14ac:dyDescent="0.3">
      <c r="C86" s="218"/>
      <c r="D86" s="335" t="s">
        <v>135</v>
      </c>
      <c r="E86" s="33" t="s">
        <v>11</v>
      </c>
      <c r="F86" s="39" t="str">
        <f>'Rest Runsheet Food'!V57</f>
        <v>Continental</v>
      </c>
      <c r="G86" s="39">
        <f>'Rest Runsheet Food'!W57</f>
        <v>0</v>
      </c>
      <c r="H86" s="4"/>
      <c r="I86" s="21"/>
    </row>
    <row r="87" spans="3:9" x14ac:dyDescent="0.3">
      <c r="C87" s="218"/>
      <c r="D87" s="336"/>
      <c r="E87" s="30" t="s">
        <v>9</v>
      </c>
      <c r="F87" s="39" t="str">
        <f>'Rest Runsheet Food'!V58</f>
        <v>Potato Salad with Chirizo</v>
      </c>
      <c r="G87" s="39">
        <f>'Rest Runsheet Food'!W58</f>
        <v>0</v>
      </c>
      <c r="H87" s="4"/>
      <c r="I87" s="21"/>
    </row>
    <row r="88" spans="3:9" x14ac:dyDescent="0.3">
      <c r="C88" s="218"/>
      <c r="D88" s="337"/>
      <c r="E88" s="34" t="s">
        <v>1</v>
      </c>
      <c r="F88" s="39" t="str">
        <f>'Rest Runsheet Food'!V59</f>
        <v>N/A</v>
      </c>
      <c r="G88" s="39">
        <f>'Rest Runsheet Food'!W59</f>
        <v>0</v>
      </c>
      <c r="H88" s="4"/>
      <c r="I88" s="21"/>
    </row>
    <row r="89" spans="3:9" x14ac:dyDescent="0.3">
      <c r="C89" s="218"/>
      <c r="D89" s="19"/>
      <c r="E89" s="4"/>
      <c r="F89" s="4"/>
      <c r="G89" s="4"/>
      <c r="H89" s="4"/>
      <c r="I89" s="21"/>
    </row>
    <row r="90" spans="3:9" ht="16.2" thickBot="1" x14ac:dyDescent="0.35">
      <c r="C90" s="218"/>
      <c r="D90" s="133"/>
      <c r="E90" s="22"/>
      <c r="F90" s="22"/>
      <c r="G90" s="22"/>
      <c r="H90" s="22"/>
      <c r="I90" s="23"/>
    </row>
    <row r="91" spans="3:9" x14ac:dyDescent="0.3">
      <c r="C91" s="218"/>
    </row>
    <row r="92" spans="3:9" x14ac:dyDescent="0.3">
      <c r="C92" s="218"/>
    </row>
    <row r="93" spans="3:9" x14ac:dyDescent="0.3">
      <c r="C93" s="218"/>
    </row>
    <row r="94" spans="3:9" x14ac:dyDescent="0.3">
      <c r="C94" s="218"/>
    </row>
    <row r="95" spans="3:9" x14ac:dyDescent="0.3">
      <c r="C95" s="218"/>
    </row>
    <row r="96" spans="3:9" x14ac:dyDescent="0.3">
      <c r="C96" s="218"/>
    </row>
    <row r="97" spans="3:3" x14ac:dyDescent="0.3">
      <c r="C97" s="218"/>
    </row>
    <row r="98" spans="3:3" x14ac:dyDescent="0.3">
      <c r="C98" s="218"/>
    </row>
    <row r="99" spans="3:3" x14ac:dyDescent="0.3">
      <c r="C99" s="218"/>
    </row>
    <row r="100" spans="3:3" x14ac:dyDescent="0.3">
      <c r="C100" s="218"/>
    </row>
    <row r="101" spans="3:3" x14ac:dyDescent="0.3">
      <c r="C101" s="218"/>
    </row>
    <row r="102" spans="3:3" x14ac:dyDescent="0.3">
      <c r="C102" s="218"/>
    </row>
    <row r="103" spans="3:3" x14ac:dyDescent="0.3">
      <c r="C103" s="218"/>
    </row>
    <row r="104" spans="3:3" x14ac:dyDescent="0.3">
      <c r="C104" s="218"/>
    </row>
    <row r="105" spans="3:3" x14ac:dyDescent="0.3">
      <c r="C105" s="218"/>
    </row>
    <row r="106" spans="3:3" x14ac:dyDescent="0.3">
      <c r="C106" s="218"/>
    </row>
    <row r="107" spans="3:3" x14ac:dyDescent="0.3">
      <c r="C107" s="218"/>
    </row>
    <row r="108" spans="3:3" x14ac:dyDescent="0.3">
      <c r="C108" s="218"/>
    </row>
    <row r="109" spans="3:3" x14ac:dyDescent="0.3">
      <c r="C109" s="218"/>
    </row>
    <row r="110" spans="3:3" x14ac:dyDescent="0.3">
      <c r="C110" s="218"/>
    </row>
    <row r="111" spans="3:3" x14ac:dyDescent="0.3">
      <c r="C111" s="218"/>
    </row>
    <row r="112" spans="3:3" x14ac:dyDescent="0.3">
      <c r="C112" s="218"/>
    </row>
    <row r="113" spans="3:3" x14ac:dyDescent="0.3">
      <c r="C113" s="218"/>
    </row>
    <row r="114" spans="3:3" x14ac:dyDescent="0.3">
      <c r="C114" s="218"/>
    </row>
    <row r="115" spans="3:3" x14ac:dyDescent="0.3">
      <c r="C115" s="218"/>
    </row>
    <row r="116" spans="3:3" x14ac:dyDescent="0.3">
      <c r="C116" s="218"/>
    </row>
    <row r="117" spans="3:3" x14ac:dyDescent="0.3">
      <c r="C117" s="218"/>
    </row>
    <row r="118" spans="3:3" x14ac:dyDescent="0.3">
      <c r="C118" s="218"/>
    </row>
    <row r="119" spans="3:3" x14ac:dyDescent="0.3">
      <c r="C119" s="218"/>
    </row>
    <row r="120" spans="3:3" x14ac:dyDescent="0.3">
      <c r="C120" s="218"/>
    </row>
    <row r="121" spans="3:3" x14ac:dyDescent="0.3">
      <c r="C121" s="218"/>
    </row>
    <row r="122" spans="3:3" x14ac:dyDescent="0.3">
      <c r="C122" s="218"/>
    </row>
    <row r="123" spans="3:3" x14ac:dyDescent="0.3">
      <c r="C123" s="218"/>
    </row>
    <row r="124" spans="3:3" x14ac:dyDescent="0.3">
      <c r="C124" s="218"/>
    </row>
    <row r="125" spans="3:3" x14ac:dyDescent="0.3">
      <c r="C125" s="218"/>
    </row>
    <row r="126" spans="3:3" x14ac:dyDescent="0.3">
      <c r="C126" s="218"/>
    </row>
    <row r="127" spans="3:3" x14ac:dyDescent="0.3">
      <c r="C127" s="218"/>
    </row>
    <row r="128" spans="3:3" x14ac:dyDescent="0.3">
      <c r="C128" s="218"/>
    </row>
    <row r="129" spans="3:3" x14ac:dyDescent="0.3">
      <c r="C129" s="218"/>
    </row>
    <row r="130" spans="3:3" x14ac:dyDescent="0.3">
      <c r="C130" s="218"/>
    </row>
    <row r="131" spans="3:3" x14ac:dyDescent="0.3">
      <c r="C131" s="218"/>
    </row>
    <row r="132" spans="3:3" x14ac:dyDescent="0.3">
      <c r="C132" s="218"/>
    </row>
    <row r="133" spans="3:3" x14ac:dyDescent="0.3">
      <c r="C133" s="218"/>
    </row>
    <row r="134" spans="3:3" x14ac:dyDescent="0.3">
      <c r="C134" s="218"/>
    </row>
    <row r="135" spans="3:3" x14ac:dyDescent="0.3">
      <c r="C135" s="218"/>
    </row>
    <row r="136" spans="3:3" x14ac:dyDescent="0.3">
      <c r="C136" s="218"/>
    </row>
    <row r="137" spans="3:3" x14ac:dyDescent="0.3">
      <c r="C137" s="218"/>
    </row>
    <row r="138" spans="3:3" x14ac:dyDescent="0.3">
      <c r="C138" s="218"/>
    </row>
    <row r="139" spans="3:3" x14ac:dyDescent="0.3">
      <c r="C139" s="218"/>
    </row>
    <row r="140" spans="3:3" x14ac:dyDescent="0.3">
      <c r="C140" s="218"/>
    </row>
    <row r="141" spans="3:3" x14ac:dyDescent="0.3">
      <c r="C141" s="218"/>
    </row>
    <row r="142" spans="3:3" x14ac:dyDescent="0.3">
      <c r="C142" s="218"/>
    </row>
    <row r="143" spans="3:3" x14ac:dyDescent="0.3">
      <c r="C143" s="218"/>
    </row>
    <row r="144" spans="3:3" x14ac:dyDescent="0.3">
      <c r="C144" s="218"/>
    </row>
    <row r="145" spans="3:3" x14ac:dyDescent="0.3">
      <c r="C145" s="218"/>
    </row>
    <row r="146" spans="3:3" x14ac:dyDescent="0.3">
      <c r="C146" s="218"/>
    </row>
    <row r="147" spans="3:3" x14ac:dyDescent="0.3">
      <c r="C147" s="218"/>
    </row>
    <row r="148" spans="3:3" x14ac:dyDescent="0.3">
      <c r="C148" s="218"/>
    </row>
    <row r="149" spans="3:3" x14ac:dyDescent="0.3">
      <c r="C149" s="218"/>
    </row>
    <row r="150" spans="3:3" x14ac:dyDescent="0.3">
      <c r="C150" s="218"/>
    </row>
    <row r="151" spans="3:3" x14ac:dyDescent="0.3">
      <c r="C151" s="218"/>
    </row>
    <row r="152" spans="3:3" x14ac:dyDescent="0.3">
      <c r="C152" s="218"/>
    </row>
    <row r="153" spans="3:3" x14ac:dyDescent="0.3">
      <c r="C153" s="218"/>
    </row>
    <row r="154" spans="3:3" x14ac:dyDescent="0.3">
      <c r="C154" s="218"/>
    </row>
    <row r="155" spans="3:3" x14ac:dyDescent="0.3">
      <c r="C155" s="218"/>
    </row>
    <row r="156" spans="3:3" x14ac:dyDescent="0.3">
      <c r="C156" s="218"/>
    </row>
    <row r="157" spans="3:3" x14ac:dyDescent="0.3">
      <c r="C157" s="218"/>
    </row>
    <row r="158" spans="3:3" x14ac:dyDescent="0.3">
      <c r="C158" s="218"/>
    </row>
    <row r="159" spans="3:3" x14ac:dyDescent="0.3">
      <c r="C159" s="218"/>
    </row>
    <row r="160" spans="3:3" x14ac:dyDescent="0.3">
      <c r="C160" s="218"/>
    </row>
    <row r="161" spans="3:3" x14ac:dyDescent="0.3">
      <c r="C161" s="218"/>
    </row>
    <row r="162" spans="3:3" x14ac:dyDescent="0.3">
      <c r="C162" s="218"/>
    </row>
    <row r="163" spans="3:3" x14ac:dyDescent="0.3">
      <c r="C163" s="218"/>
    </row>
    <row r="164" spans="3:3" x14ac:dyDescent="0.3">
      <c r="C164" s="218"/>
    </row>
    <row r="165" spans="3:3" x14ac:dyDescent="0.3">
      <c r="C165" s="218"/>
    </row>
    <row r="166" spans="3:3" x14ac:dyDescent="0.3">
      <c r="C166" s="218"/>
    </row>
    <row r="167" spans="3:3" x14ac:dyDescent="0.3">
      <c r="C167" s="218"/>
    </row>
    <row r="168" spans="3:3" x14ac:dyDescent="0.3">
      <c r="C168" s="218"/>
    </row>
    <row r="169" spans="3:3" x14ac:dyDescent="0.3">
      <c r="C169" s="218"/>
    </row>
    <row r="170" spans="3:3" x14ac:dyDescent="0.3">
      <c r="C170" s="218"/>
    </row>
    <row r="171" spans="3:3" x14ac:dyDescent="0.3">
      <c r="C171" s="218"/>
    </row>
    <row r="172" spans="3:3" x14ac:dyDescent="0.3">
      <c r="C172" s="218"/>
    </row>
    <row r="173" spans="3:3" x14ac:dyDescent="0.3">
      <c r="C173" s="218"/>
    </row>
    <row r="174" spans="3:3" x14ac:dyDescent="0.3">
      <c r="C174" s="218"/>
    </row>
    <row r="175" spans="3:3" x14ac:dyDescent="0.3">
      <c r="C175" s="218"/>
    </row>
    <row r="176" spans="3:3" x14ac:dyDescent="0.3">
      <c r="C176" s="218"/>
    </row>
    <row r="177" spans="3:3" x14ac:dyDescent="0.3">
      <c r="C177" s="218"/>
    </row>
    <row r="178" spans="3:3" x14ac:dyDescent="0.3">
      <c r="C178" s="218"/>
    </row>
    <row r="179" spans="3:3" x14ac:dyDescent="0.3">
      <c r="C179" s="218"/>
    </row>
    <row r="180" spans="3:3" x14ac:dyDescent="0.3">
      <c r="C180" s="218"/>
    </row>
    <row r="181" spans="3:3" x14ac:dyDescent="0.3">
      <c r="C181" s="218"/>
    </row>
    <row r="182" spans="3:3" x14ac:dyDescent="0.3">
      <c r="C182" s="218"/>
    </row>
    <row r="183" spans="3:3" x14ac:dyDescent="0.3">
      <c r="C183" s="218"/>
    </row>
    <row r="184" spans="3:3" x14ac:dyDescent="0.3">
      <c r="C184" s="218"/>
    </row>
    <row r="185" spans="3:3" x14ac:dyDescent="0.3">
      <c r="C185" s="218"/>
    </row>
    <row r="186" spans="3:3" x14ac:dyDescent="0.3">
      <c r="C186" s="218"/>
    </row>
    <row r="187" spans="3:3" x14ac:dyDescent="0.3">
      <c r="C187" s="218"/>
    </row>
    <row r="188" spans="3:3" x14ac:dyDescent="0.3">
      <c r="C188" s="218"/>
    </row>
    <row r="189" spans="3:3" x14ac:dyDescent="0.3">
      <c r="C189" s="218"/>
    </row>
    <row r="190" spans="3:3" x14ac:dyDescent="0.3">
      <c r="C190" s="218"/>
    </row>
    <row r="191" spans="3:3" x14ac:dyDescent="0.3">
      <c r="C191" s="218"/>
    </row>
    <row r="192" spans="3:3" x14ac:dyDescent="0.3">
      <c r="C192" s="218"/>
    </row>
    <row r="193" spans="3:3" x14ac:dyDescent="0.3">
      <c r="C193" s="218"/>
    </row>
    <row r="194" spans="3:3" x14ac:dyDescent="0.3">
      <c r="C194" s="218"/>
    </row>
    <row r="195" spans="3:3" x14ac:dyDescent="0.3">
      <c r="C195" s="218"/>
    </row>
    <row r="196" spans="3:3" x14ac:dyDescent="0.3">
      <c r="C196" s="218"/>
    </row>
    <row r="197" spans="3:3" x14ac:dyDescent="0.3">
      <c r="C197" s="218"/>
    </row>
    <row r="198" spans="3:3" x14ac:dyDescent="0.3">
      <c r="C198" s="218"/>
    </row>
    <row r="199" spans="3:3" x14ac:dyDescent="0.3">
      <c r="C199" s="218"/>
    </row>
    <row r="200" spans="3:3" x14ac:dyDescent="0.3">
      <c r="C200" s="218"/>
    </row>
    <row r="201" spans="3:3" x14ac:dyDescent="0.3">
      <c r="C201" s="218"/>
    </row>
    <row r="202" spans="3:3" x14ac:dyDescent="0.3">
      <c r="C202" s="218"/>
    </row>
    <row r="203" spans="3:3" x14ac:dyDescent="0.3">
      <c r="C203" s="218"/>
    </row>
    <row r="204" spans="3:3" x14ac:dyDescent="0.3">
      <c r="C204" s="218"/>
    </row>
    <row r="205" spans="3:3" x14ac:dyDescent="0.3">
      <c r="C205" s="218"/>
    </row>
    <row r="206" spans="3:3" x14ac:dyDescent="0.3">
      <c r="C206" s="218"/>
    </row>
    <row r="207" spans="3:3" x14ac:dyDescent="0.3">
      <c r="C207" s="218"/>
    </row>
    <row r="208" spans="3:3" x14ac:dyDescent="0.3">
      <c r="C208" s="218"/>
    </row>
    <row r="209" spans="3:3" x14ac:dyDescent="0.3">
      <c r="C209" s="218"/>
    </row>
    <row r="210" spans="3:3" x14ac:dyDescent="0.3">
      <c r="C210" s="218"/>
    </row>
    <row r="211" spans="3:3" x14ac:dyDescent="0.3">
      <c r="C211" s="218"/>
    </row>
    <row r="212" spans="3:3" x14ac:dyDescent="0.3">
      <c r="C212" s="218"/>
    </row>
    <row r="213" spans="3:3" x14ac:dyDescent="0.3">
      <c r="C213" s="218"/>
    </row>
    <row r="214" spans="3:3" x14ac:dyDescent="0.3">
      <c r="C214" s="218"/>
    </row>
    <row r="215" spans="3:3" x14ac:dyDescent="0.3">
      <c r="C215" s="218"/>
    </row>
    <row r="216" spans="3:3" x14ac:dyDescent="0.3">
      <c r="C216" s="218"/>
    </row>
    <row r="217" spans="3:3" x14ac:dyDescent="0.3">
      <c r="C217" s="218"/>
    </row>
    <row r="218" spans="3:3" x14ac:dyDescent="0.3">
      <c r="C218" s="218"/>
    </row>
    <row r="219" spans="3:3" x14ac:dyDescent="0.3">
      <c r="C219" s="218"/>
    </row>
    <row r="220" spans="3:3" x14ac:dyDescent="0.3">
      <c r="C220" s="218"/>
    </row>
    <row r="221" spans="3:3" x14ac:dyDescent="0.3">
      <c r="C221" s="218"/>
    </row>
    <row r="222" spans="3:3" x14ac:dyDescent="0.3">
      <c r="C222" s="218"/>
    </row>
    <row r="223" spans="3:3" x14ac:dyDescent="0.3">
      <c r="C223" s="218"/>
    </row>
    <row r="224" spans="3:3" x14ac:dyDescent="0.3">
      <c r="C224" s="218"/>
    </row>
    <row r="225" spans="3:3" x14ac:dyDescent="0.3">
      <c r="C225" s="218"/>
    </row>
    <row r="226" spans="3:3" x14ac:dyDescent="0.3">
      <c r="C226" s="218"/>
    </row>
    <row r="227" spans="3:3" x14ac:dyDescent="0.3">
      <c r="C227" s="218"/>
    </row>
    <row r="228" spans="3:3" x14ac:dyDescent="0.3">
      <c r="C228" s="218"/>
    </row>
    <row r="229" spans="3:3" x14ac:dyDescent="0.3">
      <c r="C229" s="218"/>
    </row>
    <row r="230" spans="3:3" x14ac:dyDescent="0.3">
      <c r="C230" s="218"/>
    </row>
    <row r="231" spans="3:3" x14ac:dyDescent="0.3">
      <c r="C231" s="218"/>
    </row>
    <row r="232" spans="3:3" x14ac:dyDescent="0.3">
      <c r="C232" s="218"/>
    </row>
    <row r="233" spans="3:3" x14ac:dyDescent="0.3">
      <c r="C233" s="218"/>
    </row>
    <row r="234" spans="3:3" x14ac:dyDescent="0.3">
      <c r="C234" s="218"/>
    </row>
    <row r="235" spans="3:3" x14ac:dyDescent="0.3">
      <c r="C235" s="218"/>
    </row>
    <row r="236" spans="3:3" x14ac:dyDescent="0.3">
      <c r="C236" s="218"/>
    </row>
    <row r="237" spans="3:3" x14ac:dyDescent="0.3">
      <c r="C237" s="218"/>
    </row>
    <row r="238" spans="3:3" x14ac:dyDescent="0.3">
      <c r="C238" s="218"/>
    </row>
    <row r="239" spans="3:3" x14ac:dyDescent="0.3">
      <c r="C239" s="218"/>
    </row>
    <row r="240" spans="3:3" x14ac:dyDescent="0.3">
      <c r="C240" s="218"/>
    </row>
    <row r="241" spans="3:3" x14ac:dyDescent="0.3">
      <c r="C241" s="218"/>
    </row>
    <row r="242" spans="3:3" x14ac:dyDescent="0.3">
      <c r="C242" s="218"/>
    </row>
    <row r="243" spans="3:3" x14ac:dyDescent="0.3">
      <c r="C243" s="218"/>
    </row>
    <row r="244" spans="3:3" x14ac:dyDescent="0.3">
      <c r="C244" s="218"/>
    </row>
    <row r="245" spans="3:3" x14ac:dyDescent="0.3">
      <c r="C245" s="218"/>
    </row>
    <row r="246" spans="3:3" x14ac:dyDescent="0.3">
      <c r="C246" s="218"/>
    </row>
    <row r="247" spans="3:3" x14ac:dyDescent="0.3">
      <c r="C247" s="218"/>
    </row>
    <row r="248" spans="3:3" x14ac:dyDescent="0.3">
      <c r="C248" s="218"/>
    </row>
    <row r="249" spans="3:3" x14ac:dyDescent="0.3">
      <c r="C249" s="218"/>
    </row>
    <row r="250" spans="3:3" x14ac:dyDescent="0.3">
      <c r="C250" s="218"/>
    </row>
    <row r="251" spans="3:3" x14ac:dyDescent="0.3">
      <c r="C251" s="218"/>
    </row>
    <row r="252" spans="3:3" x14ac:dyDescent="0.3">
      <c r="C252" s="218"/>
    </row>
    <row r="253" spans="3:3" x14ac:dyDescent="0.3">
      <c r="C253" s="218"/>
    </row>
    <row r="254" spans="3:3" x14ac:dyDescent="0.3">
      <c r="C254" s="218"/>
    </row>
    <row r="255" spans="3:3" x14ac:dyDescent="0.3">
      <c r="C255" s="218"/>
    </row>
    <row r="256" spans="3:3" x14ac:dyDescent="0.3">
      <c r="C256" s="218"/>
    </row>
    <row r="257" spans="3:3" x14ac:dyDescent="0.3">
      <c r="C257" s="218"/>
    </row>
    <row r="258" spans="3:3" x14ac:dyDescent="0.3">
      <c r="C258" s="218"/>
    </row>
    <row r="259" spans="3:3" x14ac:dyDescent="0.3">
      <c r="C259" s="218"/>
    </row>
  </sheetData>
  <mergeCells count="47">
    <mergeCell ref="D28:D29"/>
    <mergeCell ref="E1:G1"/>
    <mergeCell ref="E2:G2"/>
    <mergeCell ref="D4:I4"/>
    <mergeCell ref="D18:I18"/>
    <mergeCell ref="D26:I26"/>
    <mergeCell ref="D30:D31"/>
    <mergeCell ref="D32:D33"/>
    <mergeCell ref="D34:D35"/>
    <mergeCell ref="D36:D37"/>
    <mergeCell ref="D38:D39"/>
    <mergeCell ref="E44:I45"/>
    <mergeCell ref="D46:D47"/>
    <mergeCell ref="E46:I47"/>
    <mergeCell ref="D48:D49"/>
    <mergeCell ref="E48:I49"/>
    <mergeCell ref="B2:B3"/>
    <mergeCell ref="B5:B6"/>
    <mergeCell ref="B8:B9"/>
    <mergeCell ref="B11:B12"/>
    <mergeCell ref="B14:B15"/>
    <mergeCell ref="B32:B33"/>
    <mergeCell ref="D71:D73"/>
    <mergeCell ref="D76:D78"/>
    <mergeCell ref="D81:D83"/>
    <mergeCell ref="D86:D88"/>
    <mergeCell ref="D61:D63"/>
    <mergeCell ref="D66:D68"/>
    <mergeCell ref="D42:I42"/>
    <mergeCell ref="D56:I56"/>
    <mergeCell ref="D40:D41"/>
    <mergeCell ref="B35:B36"/>
    <mergeCell ref="D51:I51"/>
    <mergeCell ref="D52:I53"/>
    <mergeCell ref="D54:I55"/>
    <mergeCell ref="D60:I60"/>
    <mergeCell ref="D44:D45"/>
    <mergeCell ref="B17:B18"/>
    <mergeCell ref="B20:B21"/>
    <mergeCell ref="B23:B24"/>
    <mergeCell ref="B26:B27"/>
    <mergeCell ref="B29:B30"/>
    <mergeCell ref="B38:B39"/>
    <mergeCell ref="B41:B42"/>
    <mergeCell ref="B44:B45"/>
    <mergeCell ref="B47:B48"/>
    <mergeCell ref="B50:B51"/>
  </mergeCells>
  <hyperlinks>
    <hyperlink ref="B2" location="Panel!C4" display="HOME" xr:uid="{1A6D4D8C-AE37-4656-A7A7-BE6D07474F2E}"/>
    <hyperlink ref="B5" location="Panel!C4" display="HOME" xr:uid="{4EE5BFC9-65CF-4167-9EC4-B52604DA4012}"/>
    <hyperlink ref="B17" location="Panel!C4" display="HOME" xr:uid="{C7826F03-5A67-4611-BF4F-924874CC633B}"/>
    <hyperlink ref="B20" location="Panel!C4" display="HOME" xr:uid="{11C54A54-59FF-4199-82A5-123DD1FC1FE7}"/>
    <hyperlink ref="B23" location="Panel!C4" display="HOME" xr:uid="{33D306E6-247C-4289-AA6A-8CDC661248D4}"/>
    <hyperlink ref="B5:B6" location="data_formula_legend!A1" display="DATA" xr:uid="{9201A59E-4793-4234-BFB9-BA02AFE063B2}"/>
    <hyperlink ref="B17:B18" location="day_1!A1" display="DAY 1" xr:uid="{2BC5E495-1B1A-4D42-9A26-F9906647C1E0}"/>
    <hyperlink ref="B8" location="Panel!C4" display="HOME" xr:uid="{D99A07CE-E7C4-468F-9BD4-1F9D747C45E9}"/>
    <hyperlink ref="B8:B9" location="Runsheet!A1" display="RUNSHEET" xr:uid="{7070AD19-D5A8-4CD1-9F5B-8F8B47C71F06}"/>
    <hyperlink ref="B20:B21" location="day_2!A1" display="DAY 2" xr:uid="{AF2EE156-8DB0-4CFE-A6EC-775D46CD8FC3}"/>
    <hyperlink ref="B23:B24" location="day_3!A1" display="DAY 3" xr:uid="{A73E93AC-3E2C-4306-9A92-CDB5E005A775}"/>
    <hyperlink ref="B2:B3" location="HOME!A1" display="HOME" xr:uid="{576132B5-FB60-4111-AE80-B744ACB16879}"/>
    <hyperlink ref="B26" location="Panel!C4" display="HOME" xr:uid="{4B3ECAFA-9D70-4308-B181-DDFB9D0D4192}"/>
    <hyperlink ref="B26:B27" location="day_5!A1" display="DAY 4" xr:uid="{86511B47-E129-4B81-94C0-7A0867BFB2CF}"/>
    <hyperlink ref="B29" location="Panel!C4" display="HOME" xr:uid="{FDA1EC1F-1416-48C9-864A-53A60E3CE29D}"/>
    <hyperlink ref="B29:B30" location="day_5!A1" display="DAY 5" xr:uid="{779597A6-1896-406A-B82E-85B6DB2800B3}"/>
    <hyperlink ref="B32" location="Panel!C4" display="HOME" xr:uid="{8BACA4DD-C66B-484A-9DFD-16AB509F209D}"/>
    <hyperlink ref="B32:B33" location="day_6!A1" display="DAY 6" xr:uid="{3DA832F8-D399-482C-98CB-EBE6CC697E99}"/>
    <hyperlink ref="B14:B15" location="'Food Serves'!A1" display="FOOD SERVES" xr:uid="{9A266C29-AF25-4BA7-A169-A1E4E9438269}"/>
    <hyperlink ref="B11:B12" location="'Rest Runsheet Food'!A1" display="RESTAURANT RUNSHEET" xr:uid="{87F0F2E1-4093-44B7-9D50-858E305A0030}"/>
    <hyperlink ref="B14" location="Panel!C4" display="HOME" xr:uid="{11D40F00-1B87-47A0-961F-9B141150AE47}"/>
    <hyperlink ref="B11" location="Panel!C4" display="HOME" xr:uid="{B4029A28-A10C-48B2-A215-60B0522A2138}"/>
    <hyperlink ref="B35" location="Panel!C4" display="HOME" xr:uid="{7751D0DF-A2A8-402E-B760-CF74BB6A4809}"/>
    <hyperlink ref="B35:B36" location="day_7!A1" display="DAY 7" xr:uid="{37EB580D-BA6C-4606-BF4E-7C15F4AD72A3}"/>
    <hyperlink ref="B38" location="Panel!C4" display="HOME" xr:uid="{22A570D6-0574-4F8E-ABCF-3868085D07A7}"/>
    <hyperlink ref="B38:B39" location="day_8!A1" display="DAY 8" xr:uid="{1AD284B6-AB18-4535-8C57-40588135F068}"/>
    <hyperlink ref="B41" location="Panel!C4" display="HOME" xr:uid="{4E3E906C-2121-4EEC-823E-7E6C4079DDA8}"/>
    <hyperlink ref="B41:B42" location="day_9!A1" display="DAY 9" xr:uid="{6106AD58-5AC3-4476-987A-8E472218DB4F}"/>
    <hyperlink ref="B44" location="Panel!C4" display="HOME" xr:uid="{0A7C06A0-F35C-4462-9DC8-67D09A124A92}"/>
    <hyperlink ref="B44:B45" location="day_10!A1" display="DAY 10" xr:uid="{6C7717F8-0200-4689-8639-77262B197E57}"/>
    <hyperlink ref="B47" location="Panel!C4" display="HOME" xr:uid="{2DB4CAA7-033D-453D-89D0-69683F641F28}"/>
    <hyperlink ref="B47:B48" location="day_11!A1" display="DAY 11" xr:uid="{8DB86F0B-5720-4FDE-9D79-2FDEB1FE4B50}"/>
    <hyperlink ref="B50" location="Panel!C4" display="HOME" xr:uid="{1294FC4A-96D3-4FEB-AD21-BA0C6A25736F}"/>
    <hyperlink ref="B50:B51" location="day_12!A1" display="DAY 12" xr:uid="{3A27381A-94E4-4B15-9A80-368A11346587}"/>
  </hyperlinks>
  <pageMargins left="0.23622047244094491" right="0.23622047244094491" top="0.15748031496062992" bottom="0.15748031496062992" header="0" footer="0"/>
  <pageSetup paperSize="9" scale="52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A936C-B163-4119-A75F-914DE8FF2653}">
  <sheetPr codeName="Sheet18">
    <pageSetUpPr fitToPage="1"/>
  </sheetPr>
  <dimension ref="A1:I259"/>
  <sheetViews>
    <sheetView topLeftCell="A28" workbookViewId="0">
      <selection activeCell="B11" sqref="B11:B12"/>
    </sheetView>
  </sheetViews>
  <sheetFormatPr defaultRowHeight="15.6" x14ac:dyDescent="0.3"/>
  <cols>
    <col min="1" max="1" width="1.77734375" style="216" customWidth="1"/>
    <col min="2" max="2" width="14" style="217" bestFit="1" customWidth="1"/>
    <col min="3" max="3" width="1.77734375" style="216" customWidth="1"/>
    <col min="4" max="4" width="45.6640625" bestFit="1" customWidth="1"/>
    <col min="5" max="5" width="20.77734375" bestFit="1" customWidth="1"/>
    <col min="6" max="6" width="36.21875" bestFit="1" customWidth="1"/>
    <col min="7" max="7" width="28.44140625" bestFit="1" customWidth="1"/>
    <col min="8" max="8" width="27.77734375" bestFit="1" customWidth="1"/>
    <col min="9" max="9" width="30.5546875" bestFit="1" customWidth="1"/>
  </cols>
  <sheetData>
    <row r="1" spans="1:9" ht="16.2" thickBot="1" x14ac:dyDescent="0.35">
      <c r="A1" s="212"/>
      <c r="B1" s="213"/>
      <c r="C1" s="212"/>
      <c r="D1" s="16"/>
      <c r="E1" s="351" t="str">
        <f>Runsheet!BY7</f>
        <v>Day 10</v>
      </c>
      <c r="F1" s="351"/>
      <c r="G1" s="351"/>
      <c r="H1" s="17"/>
      <c r="I1" s="18"/>
    </row>
    <row r="2" spans="1:9" ht="15" customHeight="1" thickTop="1" x14ac:dyDescent="0.3">
      <c r="A2" s="212"/>
      <c r="B2" s="318" t="s">
        <v>264</v>
      </c>
      <c r="C2" s="212"/>
      <c r="D2" s="19"/>
      <c r="E2" s="352">
        <f>Runsheet!BY6</f>
        <v>44795</v>
      </c>
      <c r="F2" s="352"/>
      <c r="G2" s="352"/>
      <c r="H2" s="4"/>
      <c r="I2" s="21"/>
    </row>
    <row r="3" spans="1:9" ht="15" customHeight="1" thickBot="1" x14ac:dyDescent="0.35">
      <c r="A3" s="212"/>
      <c r="B3" s="319"/>
      <c r="C3" s="212"/>
      <c r="D3" s="19"/>
      <c r="E3" s="144"/>
      <c r="F3" s="144"/>
      <c r="G3" s="144"/>
      <c r="H3" s="4"/>
      <c r="I3" s="21"/>
    </row>
    <row r="4" spans="1:9" ht="16.8" thickTop="1" thickBot="1" x14ac:dyDescent="0.35">
      <c r="A4" s="212"/>
      <c r="B4" s="213"/>
      <c r="C4" s="212"/>
      <c r="D4" s="354" t="s">
        <v>179</v>
      </c>
      <c r="E4" s="355"/>
      <c r="F4" s="355"/>
      <c r="G4" s="355"/>
      <c r="H4" s="355"/>
      <c r="I4" s="356"/>
    </row>
    <row r="5" spans="1:9" ht="15" customHeight="1" thickTop="1" x14ac:dyDescent="0.3">
      <c r="A5" s="212"/>
      <c r="B5" s="320" t="s">
        <v>247</v>
      </c>
      <c r="C5" s="212"/>
      <c r="D5" s="136" t="s">
        <v>37</v>
      </c>
      <c r="E5" s="136" t="s">
        <v>190</v>
      </c>
      <c r="F5" s="136" t="s">
        <v>195</v>
      </c>
      <c r="G5" s="136" t="s">
        <v>200</v>
      </c>
      <c r="H5" s="4"/>
      <c r="I5" s="21"/>
    </row>
    <row r="6" spans="1:9" ht="15" customHeight="1" thickBot="1" x14ac:dyDescent="0.35">
      <c r="A6" s="212"/>
      <c r="B6" s="321"/>
      <c r="C6" s="212"/>
      <c r="D6" s="137" t="str">
        <f>guest_lists[[#This Row],[tour_type]]</f>
        <v>12 - DPCYT</v>
      </c>
      <c r="E6" s="137" t="str">
        <f>guest_lists[[#This Row],[guest_lists]]</f>
        <v>Penelope Lister</v>
      </c>
      <c r="F6" s="137" t="str">
        <f>guest_lists[[#This Row],[party]]</f>
        <v>party_1 G1</v>
      </c>
      <c r="G6" s="137" t="str">
        <f>guest_lists[[#This Row],[dietary_requirements2]]</f>
        <v>nil</v>
      </c>
      <c r="H6" s="4"/>
      <c r="I6" s="21"/>
    </row>
    <row r="7" spans="1:9" ht="16.8" thickTop="1" thickBot="1" x14ac:dyDescent="0.35">
      <c r="A7" s="214"/>
      <c r="B7" s="213"/>
      <c r="C7" s="214"/>
      <c r="D7" s="137" t="str">
        <f>guest_lists[[#This Row],[tour_type]]</f>
        <v>12 - DPCYT</v>
      </c>
      <c r="E7" s="137" t="str">
        <f>guest_lists[[#This Row],[guest_lists]]</f>
        <v>Gerald Lister</v>
      </c>
      <c r="F7" s="137" t="str">
        <f>guest_lists[[#This Row],[party]]</f>
        <v>party_1 G2</v>
      </c>
      <c r="G7" s="137" t="str">
        <f>guest_lists[[#This Row],[dietary_requirements2]]</f>
        <v>nil</v>
      </c>
      <c r="H7" s="4"/>
      <c r="I7" s="21"/>
    </row>
    <row r="8" spans="1:9" ht="15" customHeight="1" thickTop="1" x14ac:dyDescent="0.3">
      <c r="A8" s="212"/>
      <c r="B8" s="318" t="s">
        <v>265</v>
      </c>
      <c r="C8" s="212"/>
      <c r="D8" s="137" t="str">
        <f>guest_lists[[#This Row],[tour_type]]</f>
        <v>12 - DPCYT</v>
      </c>
      <c r="E8" s="137" t="str">
        <f>guest_lists[[#This Row],[guest_lists]]</f>
        <v>Denis Lister</v>
      </c>
      <c r="F8" s="137" t="str">
        <f>guest_lists[[#This Row],[party]]</f>
        <v>party_2 G1</v>
      </c>
      <c r="G8" s="137" t="str">
        <f>guest_lists[[#This Row],[dietary_requirements2]]</f>
        <v>nil</v>
      </c>
      <c r="H8" s="4"/>
      <c r="I8" s="21"/>
    </row>
    <row r="9" spans="1:9" ht="15" customHeight="1" thickBot="1" x14ac:dyDescent="0.35">
      <c r="A9" s="212"/>
      <c r="B9" s="319"/>
      <c r="C9" s="215"/>
      <c r="D9" s="137" t="str">
        <f>guest_lists[[#This Row],[tour_type]]</f>
        <v>12 - DSCYT</v>
      </c>
      <c r="E9" s="137" t="str">
        <f>guest_lists[[#This Row],[guest_lists]]</f>
        <v>Mark Morgan</v>
      </c>
      <c r="F9" s="137" t="str">
        <f>guest_lists[[#This Row],[party]]</f>
        <v>party_3 G1</v>
      </c>
      <c r="G9" s="137" t="str">
        <f>guest_lists[[#This Row],[dietary_requirements2]]</f>
        <v>nil</v>
      </c>
      <c r="H9" s="4"/>
      <c r="I9" s="21"/>
    </row>
    <row r="10" spans="1:9" ht="16.8" thickTop="1" thickBot="1" x14ac:dyDescent="0.35">
      <c r="A10" s="212"/>
      <c r="B10" s="213"/>
      <c r="C10" s="215"/>
      <c r="D10" s="137" t="str">
        <f>guest_lists[[#This Row],[tour_type]]</f>
        <v>12 - DSCYT</v>
      </c>
      <c r="E10" s="137" t="str">
        <f>guest_lists[[#This Row],[guest_lists]]</f>
        <v>Nicola Morgan</v>
      </c>
      <c r="F10" s="137" t="str">
        <f>guest_lists[[#This Row],[party]]</f>
        <v>party_3 G2</v>
      </c>
      <c r="G10" s="137" t="str">
        <f>guest_lists[[#This Row],[dietary_requirements2]]</f>
        <v>nil</v>
      </c>
      <c r="H10" s="4"/>
      <c r="I10" s="21"/>
    </row>
    <row r="11" spans="1:9" ht="15" customHeight="1" thickTop="1" x14ac:dyDescent="0.3">
      <c r="A11" s="212"/>
      <c r="B11" s="318" t="s">
        <v>511</v>
      </c>
      <c r="C11" s="215"/>
      <c r="D11" s="137" t="str">
        <f>guest_lists[[#This Row],[tour_type]]</f>
        <v>12 - DSCYT</v>
      </c>
      <c r="E11" s="137" t="str">
        <f>guest_lists[[#This Row],[guest_lists]]</f>
        <v>Joan Roberts</v>
      </c>
      <c r="F11" s="137" t="str">
        <f>guest_lists[[#This Row],[party]]</f>
        <v>party_4 G1</v>
      </c>
      <c r="G11" s="137" t="str">
        <f>guest_lists[[#This Row],[dietary_requirements2]]</f>
        <v>nil</v>
      </c>
      <c r="H11" s="4"/>
      <c r="I11" s="21"/>
    </row>
    <row r="12" spans="1:9" ht="15" customHeight="1" thickBot="1" x14ac:dyDescent="0.35">
      <c r="A12" s="212"/>
      <c r="B12" s="319"/>
      <c r="C12" s="215"/>
      <c r="D12" s="137" t="str">
        <f>guest_lists[[#This Row],[tour_type]]</f>
        <v>12 - DSCYT</v>
      </c>
      <c r="E12" s="137" t="str">
        <f>guest_lists[[#This Row],[guest_lists]]</f>
        <v>Valerie Mead</v>
      </c>
      <c r="F12" s="137" t="str">
        <f>guest_lists[[#This Row],[party]]</f>
        <v>party_4 G2</v>
      </c>
      <c r="G12" s="137" t="str">
        <f>guest_lists[[#This Row],[dietary_requirements2]]</f>
        <v>nil</v>
      </c>
      <c r="H12" s="128"/>
      <c r="I12" s="21"/>
    </row>
    <row r="13" spans="1:9" ht="16.8" thickTop="1" thickBot="1" x14ac:dyDescent="0.35">
      <c r="A13" s="212"/>
      <c r="B13" s="213"/>
      <c r="C13" s="215"/>
      <c r="D13" s="137" t="str">
        <f>guest_lists[[#This Row],[tour_type]]</f>
        <v>12 - DSCYT</v>
      </c>
      <c r="E13" s="137" t="str">
        <f>guest_lists[[#This Row],[guest_lists]]</f>
        <v>Ann Berriman</v>
      </c>
      <c r="F13" s="137" t="str">
        <f>guest_lists[[#This Row],[party]]</f>
        <v>party_5 G1</v>
      </c>
      <c r="G13" s="137" t="str">
        <f>guest_lists[[#This Row],[dietary_requirements2]]</f>
        <v>nil</v>
      </c>
      <c r="H13" s="128"/>
      <c r="I13" s="21"/>
    </row>
    <row r="14" spans="1:9" ht="15" customHeight="1" thickTop="1" x14ac:dyDescent="0.3">
      <c r="A14" s="212"/>
      <c r="B14" s="318" t="s">
        <v>512</v>
      </c>
      <c r="C14" s="215"/>
      <c r="D14" s="137" t="str">
        <f>guest_lists[[#This Row],[tour_type]]</f>
        <v>12 - DSCYT</v>
      </c>
      <c r="E14" s="137" t="str">
        <f>guest_lists[[#This Row],[guest_lists]]</f>
        <v>Wanda Drost</v>
      </c>
      <c r="F14" s="137" t="str">
        <f>guest_lists[[#This Row],[party]]</f>
        <v>party_5 G2</v>
      </c>
      <c r="G14" s="137" t="str">
        <f>guest_lists[[#This Row],[dietary_requirements2]]</f>
        <v>celiac</v>
      </c>
      <c r="H14" s="128"/>
      <c r="I14" s="21"/>
    </row>
    <row r="15" spans="1:9" ht="15" customHeight="1" thickBot="1" x14ac:dyDescent="0.35">
      <c r="A15" s="212"/>
      <c r="B15" s="319"/>
      <c r="C15" s="215"/>
      <c r="D15" s="137" t="str">
        <f>guest_lists[[#This Row],[tour_type]]</f>
        <v>5 - DTT</v>
      </c>
      <c r="E15" s="137" t="str">
        <f>guest_lists[[#This Row],[guest_lists]]</f>
        <v>Ian Neil</v>
      </c>
      <c r="F15" s="137" t="str">
        <f>guest_lists[[#This Row],[party]]</f>
        <v>party_6 G1</v>
      </c>
      <c r="G15" s="137" t="str">
        <f>guest_lists[[#This Row],[dietary_requirements2]]</f>
        <v>nil</v>
      </c>
      <c r="H15" s="4"/>
      <c r="I15" s="21"/>
    </row>
    <row r="16" spans="1:9" ht="16.8" thickTop="1" thickBot="1" x14ac:dyDescent="0.35">
      <c r="A16" s="212"/>
      <c r="B16" s="213"/>
      <c r="C16" s="215"/>
      <c r="D16" s="137" t="str">
        <f>guest_lists[[#This Row],[tour_type]]</f>
        <v>5 - DTT</v>
      </c>
      <c r="E16" s="137" t="str">
        <f>guest_lists[[#This Row],[guest_lists]]</f>
        <v>Graheme Fergueson</v>
      </c>
      <c r="F16" s="137" t="str">
        <f>guest_lists[[#This Row],[party]]</f>
        <v>party_6 G2</v>
      </c>
      <c r="G16" s="137" t="str">
        <f>guest_lists[[#This Row],[dietary_requirements2]]</f>
        <v>nil</v>
      </c>
      <c r="H16" s="4"/>
      <c r="I16" s="21"/>
    </row>
    <row r="17" spans="1:9" ht="15" thickTop="1" x14ac:dyDescent="0.3">
      <c r="A17" s="212"/>
      <c r="B17" s="318" t="s">
        <v>266</v>
      </c>
      <c r="C17" s="215"/>
      <c r="D17" s="137" t="str">
        <f>guest_lists[[#This Row],[tour_type]]</f>
        <v>9 - DPSYT</v>
      </c>
      <c r="E17" s="137" t="str">
        <f>guest_lists[[#This Row],[guest_lists]]</f>
        <v>Raewyn Brookie</v>
      </c>
      <c r="F17" s="137" t="str">
        <f>guest_lists[[#This Row],[party]]</f>
        <v>party_7 G1</v>
      </c>
      <c r="G17" s="137" t="str">
        <f>guest_lists[[#This Row],[dietary_requirements2]]</f>
        <v>nil</v>
      </c>
      <c r="H17" s="4"/>
      <c r="I17" s="21"/>
    </row>
    <row r="18" spans="1:9" ht="15" thickBot="1" x14ac:dyDescent="0.35">
      <c r="A18" s="212"/>
      <c r="B18" s="319"/>
      <c r="C18" s="215"/>
      <c r="D18" s="137" t="e">
        <f>guest_lists[[#This Row],[tour_type]]</f>
        <v>#VALUE!</v>
      </c>
      <c r="E18" s="137" t="e">
        <f>guest_lists[[#This Row],[guest_lists]]</f>
        <v>#VALUE!</v>
      </c>
      <c r="F18" s="137" t="e">
        <f>guest_lists[[#This Row],[party]]</f>
        <v>#VALUE!</v>
      </c>
      <c r="G18" s="137" t="e">
        <f>guest_lists[[#This Row],[dietary_requirements2]]</f>
        <v>#VALUE!</v>
      </c>
      <c r="H18" s="4"/>
      <c r="I18" s="21"/>
    </row>
    <row r="19" spans="1:9" ht="15" customHeight="1" thickTop="1" thickBot="1" x14ac:dyDescent="0.35">
      <c r="A19" s="212"/>
      <c r="B19" s="213"/>
      <c r="C19" s="215"/>
      <c r="D19" s="325" t="s">
        <v>33</v>
      </c>
      <c r="E19" s="326"/>
      <c r="F19" s="326"/>
      <c r="G19" s="326"/>
      <c r="H19" s="326"/>
      <c r="I19" s="327"/>
    </row>
    <row r="20" spans="1:9" ht="15" customHeight="1" thickTop="1" x14ac:dyDescent="0.3">
      <c r="A20" s="212"/>
      <c r="B20" s="318" t="s">
        <v>267</v>
      </c>
      <c r="C20" s="215"/>
      <c r="D20" s="129" t="str">
        <f>Runsheet!E8</f>
        <v>Accommodation Booked</v>
      </c>
      <c r="E20" s="73" t="str">
        <f>Runsheet!E9</f>
        <v>Accommodation Entity</v>
      </c>
      <c r="F20" s="73" t="str">
        <f>Runsheet!F9</f>
        <v>Address</v>
      </c>
      <c r="G20" s="73" t="str">
        <f>Runsheet!G9</f>
        <v>Number of rooms on hold</v>
      </c>
      <c r="H20" s="73" t="str">
        <f>Runsheet!H9</f>
        <v>Bedding Configuration Booked</v>
      </c>
      <c r="I20" s="130" t="str">
        <f>Runsheet!I9</f>
        <v>Contact Details</v>
      </c>
    </row>
    <row r="21" spans="1:9" ht="15" thickBot="1" x14ac:dyDescent="0.35">
      <c r="A21" s="212"/>
      <c r="B21" s="319"/>
      <c r="C21" s="215"/>
      <c r="D21" s="131" t="str">
        <f>Runsheet!D10</f>
        <v>Accommodation #1</v>
      </c>
      <c r="E21" s="61" t="str">
        <f>data_formula_legend!E125</f>
        <v>Punsand Bay</v>
      </c>
      <c r="F21" s="61" t="str">
        <f>data_formula_legend!F125</f>
        <v>Lot 11 Punsand Bay via Bamaga QLD 4876</v>
      </c>
      <c r="G21" s="61">
        <f>data_formula_legend!G125</f>
        <v>7</v>
      </c>
      <c r="H21" s="61">
        <f>data_formula_legend!H125</f>
        <v>0</v>
      </c>
      <c r="I21" s="61" t="str">
        <f>data_formula_legend!I125</f>
        <v>(07) 4069 1722</v>
      </c>
    </row>
    <row r="22" spans="1:9" ht="15" customHeight="1" thickTop="1" thickBot="1" x14ac:dyDescent="0.35">
      <c r="A22" s="212"/>
      <c r="B22" s="213"/>
      <c r="C22" s="215"/>
      <c r="D22" s="131" t="str">
        <f>Runsheet!D11</f>
        <v>Accommodation #2</v>
      </c>
      <c r="E22" s="61" t="str">
        <f>data_formula_legend!E126</f>
        <v>A None</v>
      </c>
      <c r="F22" s="61">
        <f>data_formula_legend!F126</f>
        <v>0</v>
      </c>
      <c r="G22" s="61">
        <f>data_formula_legend!G126</f>
        <v>0</v>
      </c>
      <c r="H22" s="61">
        <f>data_formula_legend!H126</f>
        <v>0</v>
      </c>
      <c r="I22" s="61">
        <f>data_formula_legend!I126</f>
        <v>0</v>
      </c>
    </row>
    <row r="23" spans="1:9" ht="12.6" customHeight="1" thickTop="1" x14ac:dyDescent="0.3">
      <c r="A23" s="212"/>
      <c r="B23" s="318" t="s">
        <v>268</v>
      </c>
      <c r="C23" s="215"/>
      <c r="D23" s="131" t="str">
        <f>Runsheet!D12</f>
        <v>Accommodation #3</v>
      </c>
      <c r="E23" s="61" t="str">
        <f>data_formula_legend!E127</f>
        <v>A None</v>
      </c>
      <c r="F23" s="61">
        <f>data_formula_legend!F127</f>
        <v>0</v>
      </c>
      <c r="G23" s="61">
        <f>data_formula_legend!G127</f>
        <v>0</v>
      </c>
      <c r="H23" s="61">
        <f>data_formula_legend!H127</f>
        <v>0</v>
      </c>
      <c r="I23" s="61">
        <f>data_formula_legend!I127</f>
        <v>0</v>
      </c>
    </row>
    <row r="24" spans="1:9" ht="15" thickBot="1" x14ac:dyDescent="0.35">
      <c r="A24" s="212"/>
      <c r="B24" s="319"/>
      <c r="C24" s="215"/>
      <c r="D24" s="131" t="str">
        <f>Runsheet!D13</f>
        <v>Accommodation #4</v>
      </c>
      <c r="E24" s="61" t="str">
        <f>data_formula_legend!E128</f>
        <v>A None</v>
      </c>
      <c r="F24" s="61">
        <f>data_formula_legend!F128</f>
        <v>0</v>
      </c>
      <c r="G24" s="61">
        <f>data_formula_legend!G128</f>
        <v>0</v>
      </c>
      <c r="H24" s="61">
        <f>data_formula_legend!H128</f>
        <v>0</v>
      </c>
      <c r="I24" s="61">
        <f>data_formula_legend!I128</f>
        <v>0</v>
      </c>
    </row>
    <row r="25" spans="1:9" ht="15.6" customHeight="1" thickTop="1" thickBot="1" x14ac:dyDescent="0.35">
      <c r="A25" s="212"/>
      <c r="B25" s="213"/>
      <c r="C25" s="215"/>
      <c r="D25" s="19"/>
      <c r="E25" s="4"/>
      <c r="F25" s="20" t="str">
        <f>Runsheet!F14</f>
        <v xml:space="preserve">Total Accommodation </v>
      </c>
      <c r="G25" s="74">
        <f>Runsheet!AE14</f>
        <v>8</v>
      </c>
      <c r="H25" s="4"/>
      <c r="I25" s="21"/>
    </row>
    <row r="26" spans="1:9" ht="15.6" customHeight="1" thickTop="1" x14ac:dyDescent="0.3">
      <c r="A26" s="212"/>
      <c r="B26" s="318" t="s">
        <v>269</v>
      </c>
      <c r="C26" s="215"/>
      <c r="D26" s="19"/>
      <c r="E26" s="4"/>
      <c r="F26" s="4"/>
      <c r="G26" s="4"/>
      <c r="H26" s="4"/>
      <c r="I26" s="21"/>
    </row>
    <row r="27" spans="1:9" ht="15" thickBot="1" x14ac:dyDescent="0.35">
      <c r="A27" s="212"/>
      <c r="B27" s="319"/>
      <c r="C27" s="215"/>
      <c r="D27" s="325" t="str">
        <f>Runsheet!D15</f>
        <v>Guests Accommodation</v>
      </c>
      <c r="E27" s="326"/>
      <c r="F27" s="326"/>
      <c r="G27" s="326"/>
      <c r="H27" s="326"/>
      <c r="I27" s="327"/>
    </row>
    <row r="28" spans="1:9" ht="15" customHeight="1" thickTop="1" thickBot="1" x14ac:dyDescent="0.35">
      <c r="A28" s="212"/>
      <c r="B28" s="213"/>
      <c r="C28" s="215"/>
      <c r="D28" s="100" t="s">
        <v>195</v>
      </c>
      <c r="E28" s="76" t="s">
        <v>36</v>
      </c>
      <c r="F28" s="72" t="s">
        <v>33</v>
      </c>
      <c r="G28" s="20" t="s">
        <v>161</v>
      </c>
      <c r="H28" s="20" t="s">
        <v>186</v>
      </c>
      <c r="I28" s="48" t="s">
        <v>189</v>
      </c>
    </row>
    <row r="29" spans="1:9" ht="15" thickTop="1" x14ac:dyDescent="0.3">
      <c r="A29" s="212"/>
      <c r="B29" s="318" t="s">
        <v>270</v>
      </c>
      <c r="C29" s="215"/>
      <c r="D29" s="353" t="str">
        <f>Runsheet!D17</f>
        <v>Party 1</v>
      </c>
      <c r="E29" s="65" t="str">
        <f>Runsheet!E17</f>
        <v>Penelope Lister</v>
      </c>
      <c r="F29" s="65" t="str">
        <f>Runsheet!CA17</f>
        <v>Punsand Bay</v>
      </c>
      <c r="G29" s="65" t="str">
        <f>Runsheet!CB17</f>
        <v>double</v>
      </c>
      <c r="H29" s="65">
        <f>Runsheet!CC17</f>
        <v>0</v>
      </c>
      <c r="I29" s="314" t="str">
        <f>Runsheet!CD17</f>
        <v>1x Beach Ensuite Cabin w/ensuite</v>
      </c>
    </row>
    <row r="30" spans="1:9" ht="15" thickBot="1" x14ac:dyDescent="0.35">
      <c r="A30" s="212"/>
      <c r="B30" s="319"/>
      <c r="C30" s="215"/>
      <c r="D30" s="353"/>
      <c r="E30" s="65" t="str">
        <f>Runsheet!E18</f>
        <v>Gerald Lister</v>
      </c>
      <c r="F30" s="65" t="str">
        <f>Runsheet!CA18</f>
        <v>Punsand Bay</v>
      </c>
      <c r="G30" s="65" t="str">
        <f>Runsheet!CB18</f>
        <v>double</v>
      </c>
      <c r="H30" s="65">
        <f>Runsheet!CC18</f>
        <v>0</v>
      </c>
      <c r="I30" s="314" t="str">
        <f>Runsheet!CD18</f>
        <v>1x Beach Ensuite Cabin w/ensuite</v>
      </c>
    </row>
    <row r="31" spans="1:9" ht="16.8" thickTop="1" thickBot="1" x14ac:dyDescent="0.35">
      <c r="A31" s="212"/>
      <c r="B31" s="213"/>
      <c r="C31" s="215"/>
      <c r="D31" s="353" t="str">
        <f>Runsheet!D19</f>
        <v>Party 2</v>
      </c>
      <c r="E31" s="65" t="str">
        <f>Runsheet!E19</f>
        <v>Denis Lister</v>
      </c>
      <c r="F31" s="65" t="str">
        <f>Runsheet!CA19</f>
        <v>Punsand Bay</v>
      </c>
      <c r="G31" s="65" t="str">
        <f>Runsheet!CB19</f>
        <v>double</v>
      </c>
      <c r="H31" s="65">
        <f>Runsheet!CC19</f>
        <v>0</v>
      </c>
      <c r="I31" s="314" t="str">
        <f>Runsheet!CD19</f>
        <v>1x Beach Ensuite Cabin w/ensuite</v>
      </c>
    </row>
    <row r="32" spans="1:9" ht="15" customHeight="1" thickTop="1" x14ac:dyDescent="0.3">
      <c r="A32" s="212"/>
      <c r="B32" s="318" t="s">
        <v>271</v>
      </c>
      <c r="C32" s="215"/>
      <c r="D32" s="353"/>
      <c r="E32" s="65" t="e">
        <f>Runsheet!E20</f>
        <v>#N/A</v>
      </c>
      <c r="F32" s="65">
        <f>Runsheet!CA20</f>
        <v>0</v>
      </c>
      <c r="G32" s="65">
        <f>Runsheet!CB20</f>
        <v>0</v>
      </c>
      <c r="H32" s="65">
        <f>Runsheet!CC20</f>
        <v>0</v>
      </c>
      <c r="I32" s="314">
        <f>Runsheet!CD20</f>
        <v>0</v>
      </c>
    </row>
    <row r="33" spans="1:9" ht="15" thickBot="1" x14ac:dyDescent="0.35">
      <c r="A33" s="212"/>
      <c r="B33" s="319"/>
      <c r="C33" s="215"/>
      <c r="D33" s="353" t="str">
        <f>Runsheet!D21</f>
        <v>Party 3</v>
      </c>
      <c r="E33" s="65" t="str">
        <f>Runsheet!E21</f>
        <v>Mark Morgan</v>
      </c>
      <c r="F33" s="65" t="str">
        <f>Runsheet!CA21</f>
        <v>Punsand Bay</v>
      </c>
      <c r="G33" s="65" t="str">
        <f>Runsheet!CB21</f>
        <v>double</v>
      </c>
      <c r="H33" s="65">
        <f>Runsheet!CC21</f>
        <v>0</v>
      </c>
      <c r="I33" s="314" t="str">
        <f>Runsheet!CD21</f>
        <v>1x Beach Ensuite Cabin w/ensuite</v>
      </c>
    </row>
    <row r="34" spans="1:9" ht="16.8" thickTop="1" thickBot="1" x14ac:dyDescent="0.35">
      <c r="A34" s="212"/>
      <c r="B34" s="213"/>
      <c r="C34" s="215"/>
      <c r="D34" s="353"/>
      <c r="E34" s="65" t="str">
        <f>Runsheet!E22</f>
        <v>Nicola Morgan</v>
      </c>
      <c r="F34" s="65" t="str">
        <f>Runsheet!CA22</f>
        <v>Punsand Bay</v>
      </c>
      <c r="G34" s="65" t="str">
        <f>Runsheet!CB22</f>
        <v>double</v>
      </c>
      <c r="H34" s="65">
        <f>Runsheet!CC22</f>
        <v>0</v>
      </c>
      <c r="I34" s="314" t="str">
        <f>Runsheet!CD22</f>
        <v>1x Beach Ensuite Cabin w/ensuite</v>
      </c>
    </row>
    <row r="35" spans="1:9" ht="15" thickTop="1" x14ac:dyDescent="0.3">
      <c r="A35" s="212"/>
      <c r="B35" s="318" t="s">
        <v>272</v>
      </c>
      <c r="C35" s="215"/>
      <c r="D35" s="353" t="str">
        <f>Runsheet!D23</f>
        <v>Party 4</v>
      </c>
      <c r="E35" s="65" t="str">
        <f>Runsheet!E23</f>
        <v>Joan Roberts</v>
      </c>
      <c r="F35" s="65" t="str">
        <f>Runsheet!CA23</f>
        <v>Punsand Bay</v>
      </c>
      <c r="G35" s="65" t="str">
        <f>Runsheet!CB23</f>
        <v>double</v>
      </c>
      <c r="H35" s="65">
        <f>Runsheet!CC23</f>
        <v>0</v>
      </c>
      <c r="I35" s="314" t="str">
        <f>Runsheet!CD23</f>
        <v>1x Beach Ensuite Cabin w/ensuite</v>
      </c>
    </row>
    <row r="36" spans="1:9" ht="15" thickBot="1" x14ac:dyDescent="0.35">
      <c r="A36" s="212"/>
      <c r="B36" s="319"/>
      <c r="C36" s="215"/>
      <c r="D36" s="353"/>
      <c r="E36" s="65" t="str">
        <f>Runsheet!E24</f>
        <v>Valerie Mead</v>
      </c>
      <c r="F36" s="65" t="str">
        <f>Runsheet!CA24</f>
        <v>Punsand Bay</v>
      </c>
      <c r="G36" s="65" t="str">
        <f>Runsheet!CB24</f>
        <v>double</v>
      </c>
      <c r="H36" s="65">
        <f>Runsheet!CC24</f>
        <v>0</v>
      </c>
      <c r="I36" s="314" t="str">
        <f>Runsheet!CD24</f>
        <v>1x Beach Ensuite Cabin w/ensuite</v>
      </c>
    </row>
    <row r="37" spans="1:9" ht="16.8" thickTop="1" thickBot="1" x14ac:dyDescent="0.35">
      <c r="A37" s="212"/>
      <c r="B37" s="213"/>
      <c r="C37" s="215"/>
      <c r="D37" s="353" t="str">
        <f>Runsheet!D25</f>
        <v>Party 5</v>
      </c>
      <c r="E37" s="65" t="str">
        <f>Runsheet!E25</f>
        <v>Ann Berriman</v>
      </c>
      <c r="F37" s="65" t="str">
        <f>Runsheet!CA25</f>
        <v>Punsand Bay</v>
      </c>
      <c r="G37" s="65" t="str">
        <f>Runsheet!CB25</f>
        <v>double</v>
      </c>
      <c r="H37" s="65">
        <f>Runsheet!CC25</f>
        <v>0</v>
      </c>
      <c r="I37" s="314" t="str">
        <f>Runsheet!CD25</f>
        <v>1x Beach Ensuite Cabin w/ensuite</v>
      </c>
    </row>
    <row r="38" spans="1:9" ht="15" thickTop="1" x14ac:dyDescent="0.3">
      <c r="A38" s="212"/>
      <c r="B38" s="318" t="s">
        <v>273</v>
      </c>
      <c r="C38" s="215"/>
      <c r="D38" s="353"/>
      <c r="E38" s="65" t="str">
        <f>Runsheet!E26</f>
        <v>Wanda Drost</v>
      </c>
      <c r="F38" s="65" t="str">
        <f>Runsheet!CA26</f>
        <v>Punsand Bay</v>
      </c>
      <c r="G38" s="65" t="str">
        <f>Runsheet!CB26</f>
        <v>double</v>
      </c>
      <c r="H38" s="65">
        <f>Runsheet!CC26</f>
        <v>0</v>
      </c>
      <c r="I38" s="314" t="str">
        <f>Runsheet!CD26</f>
        <v>1x Beach Ensuite Cabin w/ensuite</v>
      </c>
    </row>
    <row r="39" spans="1:9" ht="15" thickBot="1" x14ac:dyDescent="0.35">
      <c r="A39" s="212"/>
      <c r="B39" s="319"/>
      <c r="C39" s="215"/>
      <c r="D39" s="353" t="str">
        <f>Runsheet!D27</f>
        <v>Party 6</v>
      </c>
      <c r="E39" s="65" t="str">
        <f>Runsheet!E27</f>
        <v>Ian Neil</v>
      </c>
      <c r="F39" s="65">
        <f>Runsheet!CA27</f>
        <v>0</v>
      </c>
      <c r="G39" s="65">
        <f>Runsheet!CB27</f>
        <v>0</v>
      </c>
      <c r="H39" s="65">
        <f>Runsheet!CC27</f>
        <v>0</v>
      </c>
      <c r="I39" s="314">
        <f>Runsheet!CD27</f>
        <v>0</v>
      </c>
    </row>
    <row r="40" spans="1:9" ht="15" customHeight="1" thickTop="1" thickBot="1" x14ac:dyDescent="0.35">
      <c r="A40" s="212"/>
      <c r="B40" s="213"/>
      <c r="C40" s="215"/>
      <c r="D40" s="353"/>
      <c r="E40" s="65" t="str">
        <f>Runsheet!E28</f>
        <v>Graheme Fergueson</v>
      </c>
      <c r="F40" s="65">
        <f>Runsheet!CA28</f>
        <v>0</v>
      </c>
      <c r="G40" s="65">
        <f>Runsheet!CB28</f>
        <v>0</v>
      </c>
      <c r="H40" s="65">
        <f>Runsheet!CC28</f>
        <v>0</v>
      </c>
      <c r="I40" s="314">
        <f>Runsheet!CD28</f>
        <v>0</v>
      </c>
    </row>
    <row r="41" spans="1:9" ht="15" customHeight="1" thickTop="1" x14ac:dyDescent="0.3">
      <c r="A41" s="212"/>
      <c r="B41" s="318" t="s">
        <v>274</v>
      </c>
      <c r="C41" s="215"/>
      <c r="D41" s="353" t="str">
        <f>Runsheet!D29</f>
        <v>Party 7</v>
      </c>
      <c r="E41" s="65" t="str">
        <f>Runsheet!E29</f>
        <v>Raewyn Brookie</v>
      </c>
      <c r="F41" s="65" t="str">
        <f>Runsheet!CA29</f>
        <v>Punsand Bay</v>
      </c>
      <c r="G41" s="65" t="str">
        <f>Runsheet!CB29</f>
        <v>double</v>
      </c>
      <c r="H41" s="65">
        <f>Runsheet!CC29</f>
        <v>0</v>
      </c>
      <c r="I41" s="314" t="str">
        <f>Runsheet!CD29</f>
        <v xml:space="preserve">1 x safari tent </v>
      </c>
    </row>
    <row r="42" spans="1:9" ht="15" thickBot="1" x14ac:dyDescent="0.35">
      <c r="A42" s="212"/>
      <c r="B42" s="319"/>
      <c r="C42" s="215"/>
      <c r="D42" s="353"/>
      <c r="E42" s="65" t="e">
        <f>Runsheet!E30</f>
        <v>#N/A</v>
      </c>
      <c r="F42" s="65">
        <f>Runsheet!CA30</f>
        <v>0</v>
      </c>
      <c r="G42" s="65">
        <f>Runsheet!CB30</f>
        <v>0</v>
      </c>
      <c r="H42" s="65">
        <f>Runsheet!CC30</f>
        <v>0</v>
      </c>
      <c r="I42" s="314">
        <f>Runsheet!CD30</f>
        <v>0</v>
      </c>
    </row>
    <row r="43" spans="1:9" ht="16.8" thickTop="1" thickBot="1" x14ac:dyDescent="0.35">
      <c r="A43" s="212"/>
      <c r="B43" s="213"/>
      <c r="C43" s="215"/>
      <c r="D43" s="325" t="str">
        <f>Runsheet!D36</f>
        <v>Dinning Arrangements</v>
      </c>
      <c r="E43" s="326"/>
      <c r="F43" s="326"/>
      <c r="G43" s="326"/>
      <c r="H43" s="326"/>
      <c r="I43" s="327"/>
    </row>
    <row r="44" spans="1:9" ht="15" customHeight="1" thickTop="1" x14ac:dyDescent="0.3">
      <c r="A44" s="212"/>
      <c r="B44" s="318" t="s">
        <v>275</v>
      </c>
      <c r="C44" s="215"/>
      <c r="D44" s="19"/>
      <c r="E44" s="4"/>
      <c r="F44" s="4"/>
      <c r="G44" s="4"/>
      <c r="H44" s="4"/>
      <c r="I44" s="21"/>
    </row>
    <row r="45" spans="1:9" ht="15" customHeight="1" thickBot="1" x14ac:dyDescent="0.35">
      <c r="A45" s="212"/>
      <c r="B45" s="319"/>
      <c r="C45" s="215"/>
      <c r="D45" s="328" t="str">
        <f>Runsheet!D37</f>
        <v xml:space="preserve">Breakfast </v>
      </c>
      <c r="E45" s="329" t="str">
        <f>Runsheet!BY37</f>
        <v>Cook Breakfast</v>
      </c>
      <c r="F45" s="330"/>
      <c r="G45" s="330"/>
      <c r="H45" s="330"/>
      <c r="I45" s="331"/>
    </row>
    <row r="46" spans="1:9" ht="16.8" thickTop="1" thickBot="1" x14ac:dyDescent="0.35">
      <c r="A46" s="212"/>
      <c r="B46" s="213"/>
      <c r="C46" s="215"/>
      <c r="D46" s="328"/>
      <c r="E46" s="332"/>
      <c r="F46" s="333"/>
      <c r="G46" s="333"/>
      <c r="H46" s="333"/>
      <c r="I46" s="334"/>
    </row>
    <row r="47" spans="1:9" ht="57.6" customHeight="1" thickTop="1" x14ac:dyDescent="0.3">
      <c r="A47" s="212"/>
      <c r="B47" s="318" t="s">
        <v>276</v>
      </c>
      <c r="C47" s="215"/>
      <c r="D47" s="328" t="str">
        <f>Runsheet!D39</f>
        <v xml:space="preserve">Lunch </v>
      </c>
      <c r="E47" s="329" t="str">
        <f>Runsheet!BY39</f>
        <v>Lunch at Punsand Bay</v>
      </c>
      <c r="F47" s="330"/>
      <c r="G47" s="330"/>
      <c r="H47" s="330"/>
      <c r="I47" s="331"/>
    </row>
    <row r="48" spans="1:9" ht="15" customHeight="1" thickBot="1" x14ac:dyDescent="0.35">
      <c r="A48" s="212"/>
      <c r="B48" s="319"/>
      <c r="C48" s="215"/>
      <c r="D48" s="328"/>
      <c r="E48" s="332"/>
      <c r="F48" s="333"/>
      <c r="G48" s="333"/>
      <c r="H48" s="333"/>
      <c r="I48" s="334"/>
    </row>
    <row r="49" spans="1:9" ht="28.8" customHeight="1" thickTop="1" thickBot="1" x14ac:dyDescent="0.35">
      <c r="A49" s="212"/>
      <c r="B49" s="213"/>
      <c r="C49" s="215"/>
      <c r="D49" s="328" t="str">
        <f>Runsheet!D41</f>
        <v xml:space="preserve">Dinner </v>
      </c>
      <c r="E49" s="329" t="str">
        <f>Runsheet!BY41</f>
        <v>Corrugation Bar - Famous woodfired Pizza  (no table reservations available)</v>
      </c>
      <c r="F49" s="330"/>
      <c r="G49" s="330"/>
      <c r="H49" s="330"/>
      <c r="I49" s="331"/>
    </row>
    <row r="50" spans="1:9" ht="15" customHeight="1" thickTop="1" x14ac:dyDescent="0.3">
      <c r="A50" s="212"/>
      <c r="B50" s="318" t="s">
        <v>277</v>
      </c>
      <c r="C50" s="215"/>
      <c r="D50" s="328"/>
      <c r="E50" s="332"/>
      <c r="F50" s="333"/>
      <c r="G50" s="333"/>
      <c r="H50" s="333"/>
      <c r="I50" s="334"/>
    </row>
    <row r="51" spans="1:9" ht="15" customHeight="1" thickBot="1" x14ac:dyDescent="0.35">
      <c r="A51" s="212"/>
      <c r="B51" s="319"/>
      <c r="C51" s="215"/>
      <c r="D51" s="134"/>
      <c r="E51" s="142"/>
      <c r="F51" s="142"/>
      <c r="G51" s="142"/>
      <c r="H51" s="142"/>
      <c r="I51" s="143"/>
    </row>
    <row r="52" spans="1:9" ht="16.2" thickTop="1" x14ac:dyDescent="0.3">
      <c r="A52" s="212"/>
      <c r="B52" s="213"/>
      <c r="C52" s="215"/>
      <c r="D52" s="325" t="s">
        <v>210</v>
      </c>
      <c r="E52" s="326"/>
      <c r="F52" s="326"/>
      <c r="G52" s="326"/>
      <c r="H52" s="326"/>
      <c r="I52" s="327"/>
    </row>
    <row r="53" spans="1:9" ht="15" customHeight="1" x14ac:dyDescent="0.3">
      <c r="A53" s="212"/>
      <c r="B53" s="213"/>
      <c r="C53" s="215"/>
      <c r="D53" s="360" t="str">
        <f>Runsheet!BX44</f>
        <v>Tip of Australia/Somerset/5 beaches / chopper flight from Cape York Camping ?upsell?</v>
      </c>
      <c r="E53" s="360"/>
      <c r="F53" s="360"/>
      <c r="G53" s="360"/>
      <c r="H53" s="360"/>
      <c r="I53" s="360"/>
    </row>
    <row r="54" spans="1:9" ht="15" customHeight="1" x14ac:dyDescent="0.3">
      <c r="A54" s="212"/>
      <c r="B54" s="231"/>
      <c r="C54" s="215"/>
      <c r="D54" s="360"/>
      <c r="E54" s="360"/>
      <c r="F54" s="360"/>
      <c r="G54" s="360"/>
      <c r="H54" s="360"/>
      <c r="I54" s="360"/>
    </row>
    <row r="55" spans="1:9" x14ac:dyDescent="0.3">
      <c r="A55" s="212"/>
      <c r="B55" s="231"/>
      <c r="C55" s="215"/>
      <c r="D55" s="360">
        <f>Runsheet!BX45</f>
        <v>0</v>
      </c>
      <c r="E55" s="360"/>
      <c r="F55" s="360"/>
      <c r="G55" s="360"/>
      <c r="H55" s="360"/>
      <c r="I55" s="360"/>
    </row>
    <row r="56" spans="1:9" x14ac:dyDescent="0.3">
      <c r="A56" s="212"/>
      <c r="B56" s="213"/>
      <c r="C56" s="215"/>
      <c r="D56" s="360"/>
      <c r="E56" s="360"/>
      <c r="F56" s="360"/>
      <c r="G56" s="360"/>
      <c r="H56" s="360"/>
      <c r="I56" s="360"/>
    </row>
    <row r="57" spans="1:9" x14ac:dyDescent="0.3">
      <c r="A57" s="212"/>
      <c r="B57" s="213"/>
      <c r="C57" s="215"/>
      <c r="D57" s="325" t="s">
        <v>372</v>
      </c>
      <c r="E57" s="326"/>
      <c r="F57" s="326"/>
      <c r="G57" s="326"/>
      <c r="H57" s="326"/>
      <c r="I57" s="327"/>
    </row>
    <row r="58" spans="1:9" x14ac:dyDescent="0.3">
      <c r="A58" s="212"/>
      <c r="B58" s="213"/>
      <c r="C58" s="215"/>
      <c r="D58" s="232"/>
      <c r="E58" s="242" t="str" cm="1">
        <f t="array" ref="E58:H58">day_10_itinerary_highlights[]</f>
        <v>Tip of Cape York</v>
      </c>
      <c r="F58" s="138" t="str">
        <v>Somerset Beach</v>
      </c>
      <c r="G58" s="138" t="str">
        <v>Somerset Government Outpost</v>
      </c>
      <c r="H58" s="138">
        <v>0</v>
      </c>
      <c r="I58" s="233"/>
    </row>
    <row r="59" spans="1:9" x14ac:dyDescent="0.3">
      <c r="A59" s="212"/>
      <c r="B59" s="213"/>
      <c r="C59" s="215"/>
      <c r="D59" s="234"/>
      <c r="E59" s="235"/>
      <c r="F59" s="235"/>
      <c r="G59" s="235"/>
      <c r="H59" s="235"/>
      <c r="I59" s="236"/>
    </row>
    <row r="60" spans="1:9" x14ac:dyDescent="0.3">
      <c r="A60" s="212"/>
      <c r="B60" s="213"/>
      <c r="C60" s="215"/>
      <c r="D60" s="234"/>
      <c r="E60" s="235"/>
      <c r="F60" s="235"/>
      <c r="G60" s="235"/>
      <c r="H60" s="235"/>
      <c r="I60" s="236"/>
    </row>
    <row r="61" spans="1:9" x14ac:dyDescent="0.3">
      <c r="A61" s="212"/>
      <c r="B61" s="213"/>
      <c r="C61" s="215"/>
      <c r="D61" s="325" t="s">
        <v>209</v>
      </c>
      <c r="E61" s="326"/>
      <c r="F61" s="326"/>
      <c r="G61" s="326"/>
      <c r="H61" s="326"/>
      <c r="I61" s="327"/>
    </row>
    <row r="62" spans="1:9" x14ac:dyDescent="0.3">
      <c r="A62" s="212"/>
      <c r="B62" s="213"/>
      <c r="C62" s="215"/>
      <c r="D62" s="359" t="s">
        <v>97</v>
      </c>
      <c r="E62" s="33" t="s">
        <v>11</v>
      </c>
      <c r="F62" s="39" t="str">
        <f>'Rest Runsheet Food'!X10</f>
        <v>Bacon, Eggs &amp; Sausages</v>
      </c>
      <c r="G62" s="39">
        <f>'Rest Runsheet Food'!Y10</f>
        <v>11</v>
      </c>
      <c r="H62" s="4"/>
      <c r="I62" s="21"/>
    </row>
    <row r="63" spans="1:9" x14ac:dyDescent="0.3">
      <c r="A63" s="212"/>
      <c r="B63" s="213"/>
      <c r="C63" s="215"/>
      <c r="D63" s="339"/>
      <c r="E63" s="30" t="s">
        <v>9</v>
      </c>
      <c r="F63" s="39" t="str">
        <f>'Rest Runsheet Food'!X11</f>
        <v>N/A</v>
      </c>
      <c r="G63" s="39">
        <f>'Rest Runsheet Food'!Y11</f>
        <v>0</v>
      </c>
      <c r="H63" s="4"/>
      <c r="I63" s="21"/>
    </row>
    <row r="64" spans="1:9" x14ac:dyDescent="0.3">
      <c r="A64" s="212"/>
      <c r="B64" s="213"/>
      <c r="C64" s="215"/>
      <c r="D64" s="340"/>
      <c r="E64" s="34" t="s">
        <v>1</v>
      </c>
      <c r="F64" s="39" t="str">
        <f>'Rest Runsheet Food'!X12</f>
        <v>Steak &amp; mash</v>
      </c>
      <c r="G64" s="39">
        <f>'Rest Runsheet Food'!Y12</f>
        <v>11</v>
      </c>
      <c r="H64" s="4"/>
      <c r="I64" s="21"/>
    </row>
    <row r="65" spans="1:9" x14ac:dyDescent="0.3">
      <c r="A65" s="212"/>
      <c r="B65" s="213"/>
      <c r="C65" s="215"/>
      <c r="D65" s="19"/>
      <c r="E65" s="4"/>
      <c r="F65" s="4"/>
      <c r="G65" s="4"/>
      <c r="H65" s="4"/>
      <c r="I65" s="21"/>
    </row>
    <row r="66" spans="1:9" x14ac:dyDescent="0.3">
      <c r="A66" s="212"/>
      <c r="B66" s="213"/>
      <c r="C66" s="215"/>
      <c r="D66" s="19"/>
      <c r="E66" s="4"/>
      <c r="F66" s="141" t="s">
        <v>76</v>
      </c>
      <c r="G66" s="38" t="s">
        <v>77</v>
      </c>
      <c r="H66" s="4"/>
      <c r="I66" s="21"/>
    </row>
    <row r="67" spans="1:9" x14ac:dyDescent="0.3">
      <c r="A67" s="212"/>
      <c r="B67" s="213"/>
      <c r="C67" s="215"/>
      <c r="D67" s="341" t="s">
        <v>120</v>
      </c>
      <c r="E67" s="33" t="s">
        <v>11</v>
      </c>
      <c r="F67" s="39" t="str">
        <f>'Rest Runsheet Food'!X20</f>
        <v>Bacon, Eggs &amp; Sausages</v>
      </c>
      <c r="G67" s="39">
        <f>'Rest Runsheet Food'!Y20</f>
        <v>1</v>
      </c>
      <c r="H67" s="4"/>
      <c r="I67" s="21"/>
    </row>
    <row r="68" spans="1:9" x14ac:dyDescent="0.3">
      <c r="A68" s="212"/>
      <c r="B68" s="213"/>
      <c r="C68" s="215"/>
      <c r="D68" s="342"/>
      <c r="E68" s="30" t="s">
        <v>9</v>
      </c>
      <c r="F68" s="39" t="str">
        <f>'Rest Runsheet Food'!X21</f>
        <v>N/A</v>
      </c>
      <c r="G68" s="39">
        <f>'Rest Runsheet Food'!Y21</f>
        <v>0</v>
      </c>
      <c r="H68" s="4"/>
      <c r="I68" s="21"/>
    </row>
    <row r="69" spans="1:9" x14ac:dyDescent="0.3">
      <c r="A69" s="212"/>
      <c r="B69" s="213"/>
      <c r="C69" s="215"/>
      <c r="D69" s="343"/>
      <c r="E69" s="34" t="s">
        <v>1</v>
      </c>
      <c r="F69" s="39" t="str">
        <f>'Rest Runsheet Food'!X22</f>
        <v>Steak &amp; mash</v>
      </c>
      <c r="G69" s="39">
        <f>'Rest Runsheet Food'!Y22</f>
        <v>1</v>
      </c>
      <c r="H69" s="4"/>
      <c r="I69" s="21"/>
    </row>
    <row r="70" spans="1:9" x14ac:dyDescent="0.3">
      <c r="A70" s="212"/>
      <c r="B70" s="213"/>
      <c r="C70" s="215"/>
      <c r="D70" s="19"/>
      <c r="E70" s="4"/>
      <c r="F70" s="4"/>
      <c r="G70" s="4"/>
      <c r="H70" s="4"/>
      <c r="I70" s="21"/>
    </row>
    <row r="71" spans="1:9" x14ac:dyDescent="0.3">
      <c r="A71" s="212"/>
      <c r="B71" s="213"/>
      <c r="C71" s="215"/>
      <c r="D71" s="19"/>
      <c r="E71" s="4"/>
      <c r="F71" s="141" t="s">
        <v>76</v>
      </c>
      <c r="G71" s="38" t="s">
        <v>77</v>
      </c>
      <c r="H71" s="4"/>
      <c r="I71" s="21"/>
    </row>
    <row r="72" spans="1:9" x14ac:dyDescent="0.3">
      <c r="A72" s="212"/>
      <c r="B72" s="213"/>
      <c r="C72" s="215"/>
      <c r="D72" s="344" t="s">
        <v>123</v>
      </c>
      <c r="E72" s="33" t="s">
        <v>11</v>
      </c>
      <c r="F72" s="39" t="str">
        <f>'Rest Runsheet Food'!X29</f>
        <v>Bacon, Eggs &amp; Sausages</v>
      </c>
      <c r="G72" s="39">
        <f>'Rest Runsheet Food'!Y29</f>
        <v>0</v>
      </c>
      <c r="H72" s="4"/>
      <c r="I72" s="21"/>
    </row>
    <row r="73" spans="1:9" x14ac:dyDescent="0.3">
      <c r="C73" s="218"/>
      <c r="D73" s="345"/>
      <c r="E73" s="30" t="s">
        <v>9</v>
      </c>
      <c r="F73" s="39" t="str">
        <f>'Rest Runsheet Food'!X30</f>
        <v>N/A</v>
      </c>
      <c r="G73" s="39">
        <f>'Rest Runsheet Food'!Y30</f>
        <v>0</v>
      </c>
      <c r="H73" s="4"/>
      <c r="I73" s="21"/>
    </row>
    <row r="74" spans="1:9" x14ac:dyDescent="0.3">
      <c r="C74" s="218"/>
      <c r="D74" s="346"/>
      <c r="E74" s="34" t="s">
        <v>1</v>
      </c>
      <c r="F74" s="39" t="str">
        <f>'Rest Runsheet Food'!X31</f>
        <v>Steak &amp; mash</v>
      </c>
      <c r="G74" s="39">
        <f>'Rest Runsheet Food'!Y31</f>
        <v>0</v>
      </c>
      <c r="H74" s="4"/>
      <c r="I74" s="21"/>
    </row>
    <row r="75" spans="1:9" x14ac:dyDescent="0.3">
      <c r="C75" s="218"/>
      <c r="D75" s="19"/>
      <c r="E75" s="4"/>
      <c r="F75" s="4"/>
      <c r="G75" s="4"/>
      <c r="H75" s="4"/>
      <c r="I75" s="21"/>
    </row>
    <row r="76" spans="1:9" x14ac:dyDescent="0.3">
      <c r="C76" s="218"/>
      <c r="D76" s="19"/>
      <c r="E76" s="4"/>
      <c r="F76" s="141" t="s">
        <v>76</v>
      </c>
      <c r="G76" s="38" t="s">
        <v>77</v>
      </c>
      <c r="H76" s="4"/>
      <c r="I76" s="21"/>
    </row>
    <row r="77" spans="1:9" x14ac:dyDescent="0.3">
      <c r="C77" s="218"/>
      <c r="D77" s="349" t="s">
        <v>126</v>
      </c>
      <c r="E77" s="33" t="s">
        <v>11</v>
      </c>
      <c r="F77" s="39" t="str">
        <f>'Rest Runsheet Food'!X38</f>
        <v>Bacon, Eggs &amp; Sausages</v>
      </c>
      <c r="G77" s="39">
        <f>'Rest Runsheet Food'!Y38</f>
        <v>0</v>
      </c>
      <c r="H77" s="4"/>
      <c r="I77" s="21"/>
    </row>
    <row r="78" spans="1:9" ht="19.8" customHeight="1" x14ac:dyDescent="0.3">
      <c r="C78" s="218"/>
      <c r="D78" s="350"/>
      <c r="E78" s="30" t="s">
        <v>9</v>
      </c>
      <c r="F78" s="39" t="str">
        <f>'Rest Runsheet Food'!X39</f>
        <v>N/A</v>
      </c>
      <c r="G78" s="39">
        <f>'Rest Runsheet Food'!Y39</f>
        <v>0</v>
      </c>
      <c r="H78" s="4"/>
      <c r="I78" s="21"/>
    </row>
    <row r="79" spans="1:9" x14ac:dyDescent="0.3">
      <c r="C79" s="218"/>
      <c r="D79" s="357"/>
      <c r="E79" s="34" t="s">
        <v>1</v>
      </c>
      <c r="F79" s="39" t="str">
        <f>'Rest Runsheet Food'!X40</f>
        <v>Steak &amp; mash</v>
      </c>
      <c r="G79" s="39">
        <f>'Rest Runsheet Food'!Y40</f>
        <v>0</v>
      </c>
      <c r="H79" s="4"/>
      <c r="I79" s="21"/>
    </row>
    <row r="80" spans="1:9" x14ac:dyDescent="0.3">
      <c r="C80" s="218"/>
      <c r="D80" s="141"/>
      <c r="E80" s="30"/>
      <c r="F80" s="4"/>
      <c r="G80" s="4"/>
      <c r="H80" s="4"/>
      <c r="I80" s="21"/>
    </row>
    <row r="81" spans="3:9" x14ac:dyDescent="0.3">
      <c r="C81" s="218"/>
      <c r="D81" s="19"/>
      <c r="E81" s="4"/>
      <c r="F81" s="141" t="s">
        <v>76</v>
      </c>
      <c r="G81" s="38" t="s">
        <v>77</v>
      </c>
      <c r="H81" s="4"/>
      <c r="I81" s="21"/>
    </row>
    <row r="82" spans="3:9" x14ac:dyDescent="0.3">
      <c r="C82" s="218"/>
      <c r="D82" s="358" t="s">
        <v>128</v>
      </c>
      <c r="E82" s="33" t="s">
        <v>11</v>
      </c>
      <c r="F82" s="39" t="str">
        <f>'Rest Runsheet Food'!X47</f>
        <v>Bacon, Eggs &amp; Sausages</v>
      </c>
      <c r="G82" s="39">
        <f>'Rest Runsheet Food'!Y47</f>
        <v>0</v>
      </c>
      <c r="H82" s="4"/>
      <c r="I82" s="21"/>
    </row>
    <row r="83" spans="3:9" x14ac:dyDescent="0.3">
      <c r="C83" s="218"/>
      <c r="D83" s="347"/>
      <c r="E83" s="30" t="s">
        <v>9</v>
      </c>
      <c r="F83" s="39" t="str">
        <f>'Rest Runsheet Food'!X48</f>
        <v>N/A</v>
      </c>
      <c r="G83" s="39">
        <f>'Rest Runsheet Food'!Y48</f>
        <v>0</v>
      </c>
      <c r="H83" s="4"/>
      <c r="I83" s="21"/>
    </row>
    <row r="84" spans="3:9" x14ac:dyDescent="0.3">
      <c r="C84" s="218"/>
      <c r="D84" s="348"/>
      <c r="E84" s="34" t="s">
        <v>1</v>
      </c>
      <c r="F84" s="39" t="str">
        <f>'Rest Runsheet Food'!X49</f>
        <v>Steak &amp; mash</v>
      </c>
      <c r="G84" s="39">
        <f>'Rest Runsheet Food'!Y49</f>
        <v>0</v>
      </c>
      <c r="H84" s="4"/>
      <c r="I84" s="21"/>
    </row>
    <row r="85" spans="3:9" x14ac:dyDescent="0.3">
      <c r="C85" s="218"/>
      <c r="D85" s="141"/>
      <c r="E85" s="30"/>
      <c r="F85" s="4"/>
      <c r="G85" s="4"/>
      <c r="H85" s="4"/>
      <c r="I85" s="21"/>
    </row>
    <row r="86" spans="3:9" x14ac:dyDescent="0.3">
      <c r="C86" s="218"/>
      <c r="D86" s="19"/>
      <c r="E86" s="4"/>
      <c r="F86" s="141" t="s">
        <v>76</v>
      </c>
      <c r="G86" s="38" t="s">
        <v>77</v>
      </c>
      <c r="H86" s="4"/>
      <c r="I86" s="21"/>
    </row>
    <row r="87" spans="3:9" x14ac:dyDescent="0.3">
      <c r="C87" s="218"/>
      <c r="D87" s="335" t="s">
        <v>135</v>
      </c>
      <c r="E87" s="33" t="s">
        <v>11</v>
      </c>
      <c r="F87" s="39" t="str">
        <f>'Rest Runsheet Food'!X57</f>
        <v>Bacon, Eggs &amp; Sausages</v>
      </c>
      <c r="G87" s="39">
        <f>'Rest Runsheet Food'!Y57</f>
        <v>0</v>
      </c>
      <c r="H87" s="4"/>
      <c r="I87" s="21"/>
    </row>
    <row r="88" spans="3:9" x14ac:dyDescent="0.3">
      <c r="C88" s="218"/>
      <c r="D88" s="336"/>
      <c r="E88" s="30" t="s">
        <v>9</v>
      </c>
      <c r="F88" s="39" t="str">
        <f>'Rest Runsheet Food'!X58</f>
        <v>N/A</v>
      </c>
      <c r="G88" s="39">
        <f>'Rest Runsheet Food'!Y58</f>
        <v>0</v>
      </c>
      <c r="H88" s="4"/>
      <c r="I88" s="21"/>
    </row>
    <row r="89" spans="3:9" x14ac:dyDescent="0.3">
      <c r="C89" s="218"/>
      <c r="D89" s="337"/>
      <c r="E89" s="34" t="s">
        <v>1</v>
      </c>
      <c r="F89" s="39" t="str">
        <f>'Rest Runsheet Food'!X59</f>
        <v>Steak &amp; mash</v>
      </c>
      <c r="G89" s="39">
        <f>'Rest Runsheet Food'!Y59</f>
        <v>0</v>
      </c>
      <c r="H89" s="4"/>
      <c r="I89" s="21"/>
    </row>
    <row r="90" spans="3:9" x14ac:dyDescent="0.3">
      <c r="C90" s="218"/>
      <c r="D90" s="19"/>
      <c r="E90" s="4"/>
      <c r="F90" s="4"/>
      <c r="G90" s="4"/>
      <c r="H90" s="4"/>
      <c r="I90" s="21"/>
    </row>
    <row r="91" spans="3:9" ht="16.2" thickBot="1" x14ac:dyDescent="0.35">
      <c r="C91" s="218"/>
      <c r="D91" s="133"/>
      <c r="E91" s="22"/>
      <c r="F91" s="22"/>
      <c r="G91" s="22"/>
      <c r="H91" s="22"/>
      <c r="I91" s="23"/>
    </row>
    <row r="92" spans="3:9" x14ac:dyDescent="0.3">
      <c r="C92" s="218"/>
    </row>
    <row r="93" spans="3:9" x14ac:dyDescent="0.3">
      <c r="C93" s="218"/>
    </row>
    <row r="94" spans="3:9" x14ac:dyDescent="0.3">
      <c r="C94" s="218"/>
    </row>
    <row r="95" spans="3:9" x14ac:dyDescent="0.3">
      <c r="C95" s="218"/>
    </row>
    <row r="96" spans="3:9" x14ac:dyDescent="0.3">
      <c r="C96" s="218"/>
    </row>
    <row r="97" spans="3:3" x14ac:dyDescent="0.3">
      <c r="C97" s="218"/>
    </row>
    <row r="98" spans="3:3" x14ac:dyDescent="0.3">
      <c r="C98" s="218"/>
    </row>
    <row r="99" spans="3:3" x14ac:dyDescent="0.3">
      <c r="C99" s="218"/>
    </row>
    <row r="100" spans="3:3" x14ac:dyDescent="0.3">
      <c r="C100" s="218"/>
    </row>
    <row r="101" spans="3:3" x14ac:dyDescent="0.3">
      <c r="C101" s="218"/>
    </row>
    <row r="102" spans="3:3" x14ac:dyDescent="0.3">
      <c r="C102" s="218"/>
    </row>
    <row r="103" spans="3:3" x14ac:dyDescent="0.3">
      <c r="C103" s="218"/>
    </row>
    <row r="104" spans="3:3" x14ac:dyDescent="0.3">
      <c r="C104" s="218"/>
    </row>
    <row r="105" spans="3:3" x14ac:dyDescent="0.3">
      <c r="C105" s="218"/>
    </row>
    <row r="106" spans="3:3" x14ac:dyDescent="0.3">
      <c r="C106" s="218"/>
    </row>
    <row r="107" spans="3:3" x14ac:dyDescent="0.3">
      <c r="C107" s="218"/>
    </row>
    <row r="108" spans="3:3" x14ac:dyDescent="0.3">
      <c r="C108" s="218"/>
    </row>
    <row r="109" spans="3:3" x14ac:dyDescent="0.3">
      <c r="C109" s="218"/>
    </row>
    <row r="110" spans="3:3" x14ac:dyDescent="0.3">
      <c r="C110" s="218"/>
    </row>
    <row r="111" spans="3:3" x14ac:dyDescent="0.3">
      <c r="C111" s="218"/>
    </row>
    <row r="112" spans="3:3" x14ac:dyDescent="0.3">
      <c r="C112" s="218"/>
    </row>
    <row r="113" spans="3:3" x14ac:dyDescent="0.3">
      <c r="C113" s="218"/>
    </row>
    <row r="114" spans="3:3" x14ac:dyDescent="0.3">
      <c r="C114" s="218"/>
    </row>
    <row r="115" spans="3:3" x14ac:dyDescent="0.3">
      <c r="C115" s="218"/>
    </row>
    <row r="116" spans="3:3" x14ac:dyDescent="0.3">
      <c r="C116" s="218"/>
    </row>
    <row r="117" spans="3:3" x14ac:dyDescent="0.3">
      <c r="C117" s="218"/>
    </row>
    <row r="118" spans="3:3" x14ac:dyDescent="0.3">
      <c r="C118" s="218"/>
    </row>
    <row r="119" spans="3:3" x14ac:dyDescent="0.3">
      <c r="C119" s="218"/>
    </row>
    <row r="120" spans="3:3" x14ac:dyDescent="0.3">
      <c r="C120" s="218"/>
    </row>
    <row r="121" spans="3:3" x14ac:dyDescent="0.3">
      <c r="C121" s="218"/>
    </row>
    <row r="122" spans="3:3" x14ac:dyDescent="0.3">
      <c r="C122" s="218"/>
    </row>
    <row r="123" spans="3:3" x14ac:dyDescent="0.3">
      <c r="C123" s="218"/>
    </row>
    <row r="124" spans="3:3" x14ac:dyDescent="0.3">
      <c r="C124" s="218"/>
    </row>
    <row r="125" spans="3:3" x14ac:dyDescent="0.3">
      <c r="C125" s="218"/>
    </row>
    <row r="126" spans="3:3" x14ac:dyDescent="0.3">
      <c r="C126" s="218"/>
    </row>
    <row r="127" spans="3:3" x14ac:dyDescent="0.3">
      <c r="C127" s="218"/>
    </row>
    <row r="128" spans="3:3" x14ac:dyDescent="0.3">
      <c r="C128" s="218"/>
    </row>
    <row r="129" spans="3:3" x14ac:dyDescent="0.3">
      <c r="C129" s="218"/>
    </row>
    <row r="130" spans="3:3" x14ac:dyDescent="0.3">
      <c r="C130" s="218"/>
    </row>
    <row r="131" spans="3:3" x14ac:dyDescent="0.3">
      <c r="C131" s="218"/>
    </row>
    <row r="132" spans="3:3" x14ac:dyDescent="0.3">
      <c r="C132" s="218"/>
    </row>
    <row r="133" spans="3:3" x14ac:dyDescent="0.3">
      <c r="C133" s="218"/>
    </row>
    <row r="134" spans="3:3" x14ac:dyDescent="0.3">
      <c r="C134" s="218"/>
    </row>
    <row r="135" spans="3:3" x14ac:dyDescent="0.3">
      <c r="C135" s="218"/>
    </row>
    <row r="136" spans="3:3" x14ac:dyDescent="0.3">
      <c r="C136" s="218"/>
    </row>
    <row r="137" spans="3:3" x14ac:dyDescent="0.3">
      <c r="C137" s="218"/>
    </row>
    <row r="138" spans="3:3" x14ac:dyDescent="0.3">
      <c r="C138" s="218"/>
    </row>
    <row r="139" spans="3:3" x14ac:dyDescent="0.3">
      <c r="C139" s="218"/>
    </row>
    <row r="140" spans="3:3" x14ac:dyDescent="0.3">
      <c r="C140" s="218"/>
    </row>
    <row r="141" spans="3:3" x14ac:dyDescent="0.3">
      <c r="C141" s="218"/>
    </row>
    <row r="142" spans="3:3" x14ac:dyDescent="0.3">
      <c r="C142" s="218"/>
    </row>
    <row r="143" spans="3:3" x14ac:dyDescent="0.3">
      <c r="C143" s="218"/>
    </row>
    <row r="144" spans="3:3" x14ac:dyDescent="0.3">
      <c r="C144" s="218"/>
    </row>
    <row r="145" spans="3:3" x14ac:dyDescent="0.3">
      <c r="C145" s="218"/>
    </row>
    <row r="146" spans="3:3" x14ac:dyDescent="0.3">
      <c r="C146" s="218"/>
    </row>
    <row r="147" spans="3:3" x14ac:dyDescent="0.3">
      <c r="C147" s="218"/>
    </row>
    <row r="148" spans="3:3" x14ac:dyDescent="0.3">
      <c r="C148" s="218"/>
    </row>
    <row r="149" spans="3:3" x14ac:dyDescent="0.3">
      <c r="C149" s="218"/>
    </row>
    <row r="150" spans="3:3" x14ac:dyDescent="0.3">
      <c r="C150" s="218"/>
    </row>
    <row r="151" spans="3:3" x14ac:dyDescent="0.3">
      <c r="C151" s="218"/>
    </row>
    <row r="152" spans="3:3" x14ac:dyDescent="0.3">
      <c r="C152" s="218"/>
    </row>
    <row r="153" spans="3:3" x14ac:dyDescent="0.3">
      <c r="C153" s="218"/>
    </row>
    <row r="154" spans="3:3" x14ac:dyDescent="0.3">
      <c r="C154" s="218"/>
    </row>
    <row r="155" spans="3:3" x14ac:dyDescent="0.3">
      <c r="C155" s="218"/>
    </row>
    <row r="156" spans="3:3" x14ac:dyDescent="0.3">
      <c r="C156" s="218"/>
    </row>
    <row r="157" spans="3:3" x14ac:dyDescent="0.3">
      <c r="C157" s="218"/>
    </row>
    <row r="158" spans="3:3" x14ac:dyDescent="0.3">
      <c r="C158" s="218"/>
    </row>
    <row r="159" spans="3:3" x14ac:dyDescent="0.3">
      <c r="C159" s="218"/>
    </row>
    <row r="160" spans="3:3" x14ac:dyDescent="0.3">
      <c r="C160" s="218"/>
    </row>
    <row r="161" spans="3:3" x14ac:dyDescent="0.3">
      <c r="C161" s="218"/>
    </row>
    <row r="162" spans="3:3" x14ac:dyDescent="0.3">
      <c r="C162" s="218"/>
    </row>
    <row r="163" spans="3:3" x14ac:dyDescent="0.3">
      <c r="C163" s="218"/>
    </row>
    <row r="164" spans="3:3" x14ac:dyDescent="0.3">
      <c r="C164" s="218"/>
    </row>
    <row r="165" spans="3:3" x14ac:dyDescent="0.3">
      <c r="C165" s="218"/>
    </row>
    <row r="166" spans="3:3" x14ac:dyDescent="0.3">
      <c r="C166" s="218"/>
    </row>
    <row r="167" spans="3:3" x14ac:dyDescent="0.3">
      <c r="C167" s="218"/>
    </row>
    <row r="168" spans="3:3" x14ac:dyDescent="0.3">
      <c r="C168" s="218"/>
    </row>
    <row r="169" spans="3:3" x14ac:dyDescent="0.3">
      <c r="C169" s="218"/>
    </row>
    <row r="170" spans="3:3" x14ac:dyDescent="0.3">
      <c r="C170" s="218"/>
    </row>
    <row r="171" spans="3:3" x14ac:dyDescent="0.3">
      <c r="C171" s="218"/>
    </row>
    <row r="172" spans="3:3" x14ac:dyDescent="0.3">
      <c r="C172" s="218"/>
    </row>
    <row r="173" spans="3:3" x14ac:dyDescent="0.3">
      <c r="C173" s="218"/>
    </row>
    <row r="174" spans="3:3" x14ac:dyDescent="0.3">
      <c r="C174" s="218"/>
    </row>
    <row r="175" spans="3:3" x14ac:dyDescent="0.3">
      <c r="C175" s="218"/>
    </row>
    <row r="176" spans="3:3" x14ac:dyDescent="0.3">
      <c r="C176" s="218"/>
    </row>
    <row r="177" spans="3:3" x14ac:dyDescent="0.3">
      <c r="C177" s="218"/>
    </row>
    <row r="178" spans="3:3" x14ac:dyDescent="0.3">
      <c r="C178" s="218"/>
    </row>
    <row r="179" spans="3:3" x14ac:dyDescent="0.3">
      <c r="C179" s="218"/>
    </row>
    <row r="180" spans="3:3" x14ac:dyDescent="0.3">
      <c r="C180" s="218"/>
    </row>
    <row r="181" spans="3:3" x14ac:dyDescent="0.3">
      <c r="C181" s="218"/>
    </row>
    <row r="182" spans="3:3" x14ac:dyDescent="0.3">
      <c r="C182" s="218"/>
    </row>
    <row r="183" spans="3:3" x14ac:dyDescent="0.3">
      <c r="C183" s="218"/>
    </row>
    <row r="184" spans="3:3" x14ac:dyDescent="0.3">
      <c r="C184" s="218"/>
    </row>
    <row r="185" spans="3:3" x14ac:dyDescent="0.3">
      <c r="C185" s="218"/>
    </row>
    <row r="186" spans="3:3" x14ac:dyDescent="0.3">
      <c r="C186" s="218"/>
    </row>
    <row r="187" spans="3:3" x14ac:dyDescent="0.3">
      <c r="C187" s="218"/>
    </row>
    <row r="188" spans="3:3" x14ac:dyDescent="0.3">
      <c r="C188" s="218"/>
    </row>
    <row r="189" spans="3:3" x14ac:dyDescent="0.3">
      <c r="C189" s="218"/>
    </row>
    <row r="190" spans="3:3" x14ac:dyDescent="0.3">
      <c r="C190" s="218"/>
    </row>
    <row r="191" spans="3:3" x14ac:dyDescent="0.3">
      <c r="C191" s="218"/>
    </row>
    <row r="192" spans="3:3" x14ac:dyDescent="0.3">
      <c r="C192" s="218"/>
    </row>
    <row r="193" spans="3:3" x14ac:dyDescent="0.3">
      <c r="C193" s="218"/>
    </row>
    <row r="194" spans="3:3" x14ac:dyDescent="0.3">
      <c r="C194" s="218"/>
    </row>
    <row r="195" spans="3:3" x14ac:dyDescent="0.3">
      <c r="C195" s="218"/>
    </row>
    <row r="196" spans="3:3" x14ac:dyDescent="0.3">
      <c r="C196" s="218"/>
    </row>
    <row r="197" spans="3:3" x14ac:dyDescent="0.3">
      <c r="C197" s="218"/>
    </row>
    <row r="198" spans="3:3" x14ac:dyDescent="0.3">
      <c r="C198" s="218"/>
    </row>
    <row r="199" spans="3:3" x14ac:dyDescent="0.3">
      <c r="C199" s="218"/>
    </row>
    <row r="200" spans="3:3" x14ac:dyDescent="0.3">
      <c r="C200" s="218"/>
    </row>
    <row r="201" spans="3:3" x14ac:dyDescent="0.3">
      <c r="C201" s="218"/>
    </row>
    <row r="202" spans="3:3" x14ac:dyDescent="0.3">
      <c r="C202" s="218"/>
    </row>
    <row r="203" spans="3:3" x14ac:dyDescent="0.3">
      <c r="C203" s="218"/>
    </row>
    <row r="204" spans="3:3" x14ac:dyDescent="0.3">
      <c r="C204" s="218"/>
    </row>
    <row r="205" spans="3:3" x14ac:dyDescent="0.3">
      <c r="C205" s="218"/>
    </row>
    <row r="206" spans="3:3" x14ac:dyDescent="0.3">
      <c r="C206" s="218"/>
    </row>
    <row r="207" spans="3:3" x14ac:dyDescent="0.3">
      <c r="C207" s="218"/>
    </row>
    <row r="208" spans="3:3" x14ac:dyDescent="0.3">
      <c r="C208" s="218"/>
    </row>
    <row r="209" spans="3:3" x14ac:dyDescent="0.3">
      <c r="C209" s="218"/>
    </row>
    <row r="210" spans="3:3" x14ac:dyDescent="0.3">
      <c r="C210" s="218"/>
    </row>
    <row r="211" spans="3:3" x14ac:dyDescent="0.3">
      <c r="C211" s="218"/>
    </row>
    <row r="212" spans="3:3" x14ac:dyDescent="0.3">
      <c r="C212" s="218"/>
    </row>
    <row r="213" spans="3:3" x14ac:dyDescent="0.3">
      <c r="C213" s="218"/>
    </row>
    <row r="214" spans="3:3" x14ac:dyDescent="0.3">
      <c r="C214" s="218"/>
    </row>
    <row r="215" spans="3:3" x14ac:dyDescent="0.3">
      <c r="C215" s="218"/>
    </row>
    <row r="216" spans="3:3" x14ac:dyDescent="0.3">
      <c r="C216" s="218"/>
    </row>
    <row r="217" spans="3:3" x14ac:dyDescent="0.3">
      <c r="C217" s="218"/>
    </row>
    <row r="218" spans="3:3" x14ac:dyDescent="0.3">
      <c r="C218" s="218"/>
    </row>
    <row r="219" spans="3:3" x14ac:dyDescent="0.3">
      <c r="C219" s="218"/>
    </row>
    <row r="220" spans="3:3" x14ac:dyDescent="0.3">
      <c r="C220" s="218"/>
    </row>
    <row r="221" spans="3:3" x14ac:dyDescent="0.3">
      <c r="C221" s="218"/>
    </row>
    <row r="222" spans="3:3" x14ac:dyDescent="0.3">
      <c r="C222" s="218"/>
    </row>
    <row r="223" spans="3:3" x14ac:dyDescent="0.3">
      <c r="C223" s="218"/>
    </row>
    <row r="224" spans="3:3" x14ac:dyDescent="0.3">
      <c r="C224" s="218"/>
    </row>
    <row r="225" spans="3:3" x14ac:dyDescent="0.3">
      <c r="C225" s="218"/>
    </row>
    <row r="226" spans="3:3" x14ac:dyDescent="0.3">
      <c r="C226" s="218"/>
    </row>
    <row r="227" spans="3:3" x14ac:dyDescent="0.3">
      <c r="C227" s="218"/>
    </row>
    <row r="228" spans="3:3" x14ac:dyDescent="0.3">
      <c r="C228" s="218"/>
    </row>
    <row r="229" spans="3:3" x14ac:dyDescent="0.3">
      <c r="C229" s="218"/>
    </row>
    <row r="230" spans="3:3" x14ac:dyDescent="0.3">
      <c r="C230" s="218"/>
    </row>
    <row r="231" spans="3:3" x14ac:dyDescent="0.3">
      <c r="C231" s="218"/>
    </row>
    <row r="232" spans="3:3" x14ac:dyDescent="0.3">
      <c r="C232" s="218"/>
    </row>
    <row r="233" spans="3:3" x14ac:dyDescent="0.3">
      <c r="C233" s="218"/>
    </row>
    <row r="234" spans="3:3" x14ac:dyDescent="0.3">
      <c r="C234" s="218"/>
    </row>
    <row r="235" spans="3:3" x14ac:dyDescent="0.3">
      <c r="C235" s="218"/>
    </row>
    <row r="236" spans="3:3" x14ac:dyDescent="0.3">
      <c r="C236" s="218"/>
    </row>
    <row r="237" spans="3:3" x14ac:dyDescent="0.3">
      <c r="C237" s="218"/>
    </row>
    <row r="238" spans="3:3" x14ac:dyDescent="0.3">
      <c r="C238" s="218"/>
    </row>
    <row r="239" spans="3:3" x14ac:dyDescent="0.3">
      <c r="C239" s="218"/>
    </row>
    <row r="240" spans="3:3" x14ac:dyDescent="0.3">
      <c r="C240" s="218"/>
    </row>
    <row r="241" spans="3:3" x14ac:dyDescent="0.3">
      <c r="C241" s="218"/>
    </row>
    <row r="242" spans="3:3" x14ac:dyDescent="0.3">
      <c r="C242" s="218"/>
    </row>
    <row r="243" spans="3:3" x14ac:dyDescent="0.3">
      <c r="C243" s="218"/>
    </row>
    <row r="244" spans="3:3" x14ac:dyDescent="0.3">
      <c r="C244" s="218"/>
    </row>
    <row r="245" spans="3:3" x14ac:dyDescent="0.3">
      <c r="C245" s="218"/>
    </row>
    <row r="246" spans="3:3" x14ac:dyDescent="0.3">
      <c r="C246" s="218"/>
    </row>
    <row r="247" spans="3:3" x14ac:dyDescent="0.3">
      <c r="C247" s="218"/>
    </row>
    <row r="248" spans="3:3" x14ac:dyDescent="0.3">
      <c r="C248" s="218"/>
    </row>
    <row r="249" spans="3:3" x14ac:dyDescent="0.3">
      <c r="C249" s="218"/>
    </row>
    <row r="250" spans="3:3" x14ac:dyDescent="0.3">
      <c r="C250" s="218"/>
    </row>
    <row r="251" spans="3:3" x14ac:dyDescent="0.3">
      <c r="C251" s="218"/>
    </row>
    <row r="252" spans="3:3" x14ac:dyDescent="0.3">
      <c r="C252" s="218"/>
    </row>
    <row r="253" spans="3:3" x14ac:dyDescent="0.3">
      <c r="C253" s="218"/>
    </row>
    <row r="254" spans="3:3" x14ac:dyDescent="0.3">
      <c r="C254" s="218"/>
    </row>
    <row r="255" spans="3:3" x14ac:dyDescent="0.3">
      <c r="C255" s="218"/>
    </row>
    <row r="256" spans="3:3" x14ac:dyDescent="0.3">
      <c r="C256" s="218"/>
    </row>
    <row r="257" spans="3:3" x14ac:dyDescent="0.3">
      <c r="C257" s="218"/>
    </row>
    <row r="258" spans="3:3" x14ac:dyDescent="0.3">
      <c r="C258" s="218"/>
    </row>
    <row r="259" spans="3:3" x14ac:dyDescent="0.3">
      <c r="C259" s="218"/>
    </row>
  </sheetData>
  <mergeCells count="47">
    <mergeCell ref="E1:G1"/>
    <mergeCell ref="E2:G2"/>
    <mergeCell ref="D4:I4"/>
    <mergeCell ref="D19:I19"/>
    <mergeCell ref="D27:I27"/>
    <mergeCell ref="D61:I61"/>
    <mergeCell ref="D45:D46"/>
    <mergeCell ref="E45:I46"/>
    <mergeCell ref="D47:D48"/>
    <mergeCell ref="E47:I48"/>
    <mergeCell ref="D49:D50"/>
    <mergeCell ref="E49:I50"/>
    <mergeCell ref="D41:D42"/>
    <mergeCell ref="B38:B39"/>
    <mergeCell ref="B2:B3"/>
    <mergeCell ref="B5:B6"/>
    <mergeCell ref="B8:B9"/>
    <mergeCell ref="B11:B12"/>
    <mergeCell ref="B14:B15"/>
    <mergeCell ref="D31:D32"/>
    <mergeCell ref="D33:D34"/>
    <mergeCell ref="D35:D36"/>
    <mergeCell ref="D37:D38"/>
    <mergeCell ref="D39:D40"/>
    <mergeCell ref="D29:D30"/>
    <mergeCell ref="B41:B42"/>
    <mergeCell ref="B17:B18"/>
    <mergeCell ref="B20:B21"/>
    <mergeCell ref="D43:I43"/>
    <mergeCell ref="B44:B45"/>
    <mergeCell ref="B47:B48"/>
    <mergeCell ref="B50:B51"/>
    <mergeCell ref="D57:I57"/>
    <mergeCell ref="D52:I52"/>
    <mergeCell ref="D53:I54"/>
    <mergeCell ref="D55:I56"/>
    <mergeCell ref="D72:D74"/>
    <mergeCell ref="D77:D79"/>
    <mergeCell ref="D82:D84"/>
    <mergeCell ref="D87:D89"/>
    <mergeCell ref="D62:D64"/>
    <mergeCell ref="D67:D69"/>
    <mergeCell ref="B23:B24"/>
    <mergeCell ref="B26:B27"/>
    <mergeCell ref="B29:B30"/>
    <mergeCell ref="B32:B33"/>
    <mergeCell ref="B35:B36"/>
  </mergeCells>
  <hyperlinks>
    <hyperlink ref="B2" location="Panel!C4" display="HOME" xr:uid="{28C19BE6-9144-4959-9F71-2E6DF00375BC}"/>
    <hyperlink ref="B5" location="Panel!C4" display="HOME" xr:uid="{D91D7B8D-483A-4CF3-B1F6-18295D217697}"/>
    <hyperlink ref="B17" location="Panel!C4" display="HOME" xr:uid="{F15EE129-B7E0-44D8-9835-9747EEC5493E}"/>
    <hyperlink ref="B20" location="Panel!C4" display="HOME" xr:uid="{55FC9D0D-368B-45A1-817F-4999D54304AC}"/>
    <hyperlink ref="B23" location="Panel!C4" display="HOME" xr:uid="{14B546EE-703E-4B34-BFCB-3754CE10B7B5}"/>
    <hyperlink ref="B5:B6" location="data_formula_legend!A1" display="DATA" xr:uid="{8079B27C-6FBB-4C02-B1BA-FF8CDAC985E9}"/>
    <hyperlink ref="B17:B18" location="day_1!A1" display="DAY 1" xr:uid="{0B1254B8-1C5C-4DD7-9DCF-9FBBC4880A0B}"/>
    <hyperlink ref="B8" location="Panel!C4" display="HOME" xr:uid="{0F02FDE6-ABFD-458B-B4D7-15136FC46C40}"/>
    <hyperlink ref="B8:B9" location="Runsheet!A1" display="RUNSHEET" xr:uid="{09F7AA42-6626-4C6A-B76A-13C867E8D680}"/>
    <hyperlink ref="B20:B21" location="day_2!A1" display="DAY 2" xr:uid="{01F4D415-870E-4159-B6E3-C6EA3738D57E}"/>
    <hyperlink ref="B23:B24" location="day_3!A1" display="DAY 3" xr:uid="{4961F6B0-9BD0-4F83-ADD6-48992EAF7DF0}"/>
    <hyperlink ref="B2:B3" location="HOME!A1" display="HOME" xr:uid="{429A84D2-5FF9-4D65-B615-A2B57457A5E4}"/>
    <hyperlink ref="B26" location="Panel!C4" display="HOME" xr:uid="{0C76FFA2-17A4-4CAF-B14C-259DE1D79339}"/>
    <hyperlink ref="B26:B27" location="day_5!A1" display="DAY 4" xr:uid="{453531BC-0FA9-46E5-B02E-CB022F8C3195}"/>
    <hyperlink ref="B29" location="Panel!C4" display="HOME" xr:uid="{7CDE76E0-FEF4-4CE0-ABBD-B72EBE84F828}"/>
    <hyperlink ref="B29:B30" location="day_5!A1" display="DAY 5" xr:uid="{3AC8C3F7-F0E8-4635-AA33-E2FF7DA52FD6}"/>
    <hyperlink ref="B32" location="Panel!C4" display="HOME" xr:uid="{4A776901-2F4B-43B7-AD8A-F501724AA5CD}"/>
    <hyperlink ref="B32:B33" location="day_6!A1" display="DAY 6" xr:uid="{99B7EA57-2C76-40E4-8344-837AE340DBCC}"/>
    <hyperlink ref="B14:B15" location="'Food Serves'!A1" display="FOOD SERVES" xr:uid="{615EE249-4793-4E2D-8BB5-8B928DB9B15F}"/>
    <hyperlink ref="B11:B12" location="'Rest Runsheet Food'!A1" display="RESTAURANT RUNSHEET" xr:uid="{3B7C1FA8-364E-425E-96E1-B91558C66AF0}"/>
    <hyperlink ref="B14" location="Panel!C4" display="HOME" xr:uid="{F79A7FD6-2EE8-4D08-AC80-70CEF0DEDF00}"/>
    <hyperlink ref="B11" location="Panel!C4" display="HOME" xr:uid="{050D65FD-E931-42BF-8AAF-1E9F531300BC}"/>
    <hyperlink ref="B35" location="Panel!C4" display="HOME" xr:uid="{42257D11-AD6F-49C2-9C83-4D3BDFE9050B}"/>
    <hyperlink ref="B35:B36" location="day_7!A1" display="DAY 7" xr:uid="{F9AE61FE-B233-4146-8651-6103851AB999}"/>
    <hyperlink ref="B38" location="Panel!C4" display="HOME" xr:uid="{EA5ED4E0-C352-4FC5-8815-60FC2F069601}"/>
    <hyperlink ref="B38:B39" location="day_8!A1" display="DAY 8" xr:uid="{718BFD1C-64A7-4970-A946-B076236248DB}"/>
    <hyperlink ref="B41" location="Panel!C4" display="HOME" xr:uid="{6A4710B5-6F17-4E3F-AC01-1E4666A16941}"/>
    <hyperlink ref="B41:B42" location="day_9!A1" display="DAY 9" xr:uid="{92F58688-5710-428A-A010-6C32088E8630}"/>
    <hyperlink ref="B44" location="Panel!C4" display="HOME" xr:uid="{2312B058-BC2D-4A9E-BD0E-02780A31D7A8}"/>
    <hyperlink ref="B44:B45" location="day_10!A1" display="DAY 10" xr:uid="{23A8112E-B945-4D7B-9107-E4FDFA954533}"/>
    <hyperlink ref="B47" location="Panel!C4" display="HOME" xr:uid="{C232432C-2AFD-46C2-AB91-579DD0A05174}"/>
    <hyperlink ref="B47:B48" location="day_11!A1" display="DAY 11" xr:uid="{A7ABF868-A33A-4E37-B9DB-85FE19D9F73C}"/>
    <hyperlink ref="B50" location="Panel!C4" display="HOME" xr:uid="{4A7CE485-D92F-46AF-893C-B417FAA42A71}"/>
    <hyperlink ref="B50:B51" location="day_12!A1" display="DAY 12" xr:uid="{42EC9B04-316C-4A15-B1C5-9240856BA721}"/>
  </hyperlinks>
  <pageMargins left="0.23622047244094491" right="0.23622047244094491" top="0.15748031496062992" bottom="0.15748031496062992" header="0" footer="0"/>
  <pageSetup paperSize="9" scale="52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33FE8-3506-4D4C-8F61-18515DAF54CE}">
  <sheetPr codeName="Sheet8">
    <pageSetUpPr fitToPage="1"/>
  </sheetPr>
  <dimension ref="A1:I259"/>
  <sheetViews>
    <sheetView workbookViewId="0">
      <selection activeCell="B11" sqref="B11:B12"/>
    </sheetView>
  </sheetViews>
  <sheetFormatPr defaultRowHeight="15.6" x14ac:dyDescent="0.3"/>
  <cols>
    <col min="1" max="1" width="1.77734375" style="216" customWidth="1"/>
    <col min="2" max="2" width="14" style="217" bestFit="1" customWidth="1"/>
    <col min="3" max="3" width="1.77734375" style="216" customWidth="1"/>
    <col min="4" max="4" width="45.6640625" bestFit="1" customWidth="1"/>
    <col min="5" max="5" width="20.77734375" bestFit="1" customWidth="1"/>
    <col min="6" max="6" width="33" bestFit="1" customWidth="1"/>
    <col min="7" max="7" width="23.44140625" bestFit="1" customWidth="1"/>
    <col min="8" max="8" width="27.77734375" bestFit="1" customWidth="1"/>
    <col min="9" max="9" width="14" bestFit="1" customWidth="1"/>
  </cols>
  <sheetData>
    <row r="1" spans="1:9" ht="16.2" thickBot="1" x14ac:dyDescent="0.35">
      <c r="A1" s="212"/>
      <c r="B1" s="213"/>
      <c r="C1" s="212"/>
      <c r="D1" s="16"/>
      <c r="E1" s="351" t="str">
        <f>Runsheet!CG7</f>
        <v>Day 11</v>
      </c>
      <c r="F1" s="351"/>
      <c r="G1" s="351"/>
      <c r="H1" s="17"/>
      <c r="I1" s="18"/>
    </row>
    <row r="2" spans="1:9" ht="15" customHeight="1" thickTop="1" x14ac:dyDescent="0.3">
      <c r="A2" s="212"/>
      <c r="B2" s="318" t="s">
        <v>264</v>
      </c>
      <c r="C2" s="212"/>
      <c r="D2" s="19"/>
      <c r="E2" s="352">
        <f>Runsheet!CG6</f>
        <v>44796</v>
      </c>
      <c r="F2" s="352"/>
      <c r="G2" s="352"/>
      <c r="H2" s="4"/>
      <c r="I2" s="21"/>
    </row>
    <row r="3" spans="1:9" ht="15" customHeight="1" thickBot="1" x14ac:dyDescent="0.35">
      <c r="A3" s="212"/>
      <c r="B3" s="319"/>
      <c r="C3" s="212"/>
      <c r="D3" s="19"/>
      <c r="E3" s="144"/>
      <c r="F3" s="144"/>
      <c r="G3" s="144"/>
      <c r="H3" s="4"/>
      <c r="I3" s="21"/>
    </row>
    <row r="4" spans="1:9" ht="16.8" thickTop="1" thickBot="1" x14ac:dyDescent="0.35">
      <c r="A4" s="212"/>
      <c r="B4" s="213"/>
      <c r="C4" s="212"/>
      <c r="D4" s="354" t="s">
        <v>179</v>
      </c>
      <c r="E4" s="355"/>
      <c r="F4" s="355"/>
      <c r="G4" s="355"/>
      <c r="H4" s="355"/>
      <c r="I4" s="356"/>
    </row>
    <row r="5" spans="1:9" ht="15" customHeight="1" thickTop="1" x14ac:dyDescent="0.3">
      <c r="A5" s="212"/>
      <c r="B5" s="320" t="s">
        <v>247</v>
      </c>
      <c r="C5" s="212"/>
      <c r="D5" s="136" t="s">
        <v>37</v>
      </c>
      <c r="E5" s="136" t="s">
        <v>190</v>
      </c>
      <c r="F5" s="136" t="s">
        <v>195</v>
      </c>
      <c r="G5" s="136" t="s">
        <v>200</v>
      </c>
      <c r="H5" s="4"/>
      <c r="I5" s="21"/>
    </row>
    <row r="6" spans="1:9" ht="15" customHeight="1" thickBot="1" x14ac:dyDescent="0.35">
      <c r="A6" s="212"/>
      <c r="B6" s="321"/>
      <c r="C6" s="212"/>
      <c r="D6" s="137" t="str">
        <f>guest_lists[[#This Row],[tour_type]]</f>
        <v>12 - DPCYT</v>
      </c>
      <c r="E6" s="137" t="str">
        <f>guest_lists[[#This Row],[guest_lists]]</f>
        <v>Penelope Lister</v>
      </c>
      <c r="F6" s="137" t="str">
        <f>guest_lists[[#This Row],[party]]</f>
        <v>party_1 G1</v>
      </c>
      <c r="G6" s="137" t="str">
        <f>guest_lists[[#This Row],[dietary_requirements2]]</f>
        <v>nil</v>
      </c>
      <c r="H6" s="4"/>
      <c r="I6" s="21"/>
    </row>
    <row r="7" spans="1:9" ht="16.8" thickTop="1" thickBot="1" x14ac:dyDescent="0.35">
      <c r="A7" s="214"/>
      <c r="B7" s="213"/>
      <c r="C7" s="214"/>
      <c r="D7" s="137" t="str">
        <f>guest_lists[[#This Row],[tour_type]]</f>
        <v>12 - DPCYT</v>
      </c>
      <c r="E7" s="137" t="str">
        <f>guest_lists[[#This Row],[guest_lists]]</f>
        <v>Gerald Lister</v>
      </c>
      <c r="F7" s="137" t="str">
        <f>guest_lists[[#This Row],[party]]</f>
        <v>party_1 G2</v>
      </c>
      <c r="G7" s="137" t="str">
        <f>guest_lists[[#This Row],[dietary_requirements2]]</f>
        <v>nil</v>
      </c>
      <c r="H7" s="4"/>
      <c r="I7" s="21"/>
    </row>
    <row r="8" spans="1:9" ht="15" customHeight="1" thickTop="1" x14ac:dyDescent="0.3">
      <c r="A8" s="212"/>
      <c r="B8" s="318" t="s">
        <v>265</v>
      </c>
      <c r="C8" s="212"/>
      <c r="D8" s="137" t="str">
        <f>guest_lists[[#This Row],[tour_type]]</f>
        <v>12 - DPCYT</v>
      </c>
      <c r="E8" s="137" t="str">
        <f>guest_lists[[#This Row],[guest_lists]]</f>
        <v>Denis Lister</v>
      </c>
      <c r="F8" s="137" t="str">
        <f>guest_lists[[#This Row],[party]]</f>
        <v>party_2 G1</v>
      </c>
      <c r="G8" s="137" t="str">
        <f>guest_lists[[#This Row],[dietary_requirements2]]</f>
        <v>nil</v>
      </c>
      <c r="H8" s="4"/>
      <c r="I8" s="21"/>
    </row>
    <row r="9" spans="1:9" ht="15" customHeight="1" thickBot="1" x14ac:dyDescent="0.35">
      <c r="A9" s="212"/>
      <c r="B9" s="319"/>
      <c r="C9" s="215"/>
      <c r="D9" s="137" t="str">
        <f>guest_lists[[#This Row],[tour_type]]</f>
        <v>12 - DSCYT</v>
      </c>
      <c r="E9" s="137" t="str">
        <f>guest_lists[[#This Row],[guest_lists]]</f>
        <v>Mark Morgan</v>
      </c>
      <c r="F9" s="137" t="str">
        <f>guest_lists[[#This Row],[party]]</f>
        <v>party_3 G1</v>
      </c>
      <c r="G9" s="137" t="str">
        <f>guest_lists[[#This Row],[dietary_requirements2]]</f>
        <v>nil</v>
      </c>
      <c r="H9" s="4"/>
      <c r="I9" s="21"/>
    </row>
    <row r="10" spans="1:9" ht="16.8" thickTop="1" thickBot="1" x14ac:dyDescent="0.35">
      <c r="A10" s="212"/>
      <c r="B10" s="213"/>
      <c r="C10" s="215"/>
      <c r="D10" s="137" t="str">
        <f>guest_lists[[#This Row],[tour_type]]</f>
        <v>12 - DSCYT</v>
      </c>
      <c r="E10" s="137" t="str">
        <f>guest_lists[[#This Row],[guest_lists]]</f>
        <v>Nicola Morgan</v>
      </c>
      <c r="F10" s="137" t="str">
        <f>guest_lists[[#This Row],[party]]</f>
        <v>party_3 G2</v>
      </c>
      <c r="G10" s="137" t="str">
        <f>guest_lists[[#This Row],[dietary_requirements2]]</f>
        <v>nil</v>
      </c>
      <c r="H10" s="4"/>
      <c r="I10" s="21"/>
    </row>
    <row r="11" spans="1:9" ht="15" customHeight="1" thickTop="1" x14ac:dyDescent="0.3">
      <c r="A11" s="212"/>
      <c r="B11" s="318" t="s">
        <v>511</v>
      </c>
      <c r="C11" s="215"/>
      <c r="D11" s="137" t="str">
        <f>guest_lists[[#This Row],[tour_type]]</f>
        <v>12 - DSCYT</v>
      </c>
      <c r="E11" s="137" t="str">
        <f>guest_lists[[#This Row],[guest_lists]]</f>
        <v>Joan Roberts</v>
      </c>
      <c r="F11" s="137" t="str">
        <f>guest_lists[[#This Row],[party]]</f>
        <v>party_4 G1</v>
      </c>
      <c r="G11" s="137" t="str">
        <f>guest_lists[[#This Row],[dietary_requirements2]]</f>
        <v>nil</v>
      </c>
      <c r="H11" s="4"/>
      <c r="I11" s="21"/>
    </row>
    <row r="12" spans="1:9" ht="15" customHeight="1" thickBot="1" x14ac:dyDescent="0.35">
      <c r="A12" s="212"/>
      <c r="B12" s="319"/>
      <c r="C12" s="215"/>
      <c r="D12" s="137" t="str">
        <f>guest_lists[[#This Row],[tour_type]]</f>
        <v>12 - DSCYT</v>
      </c>
      <c r="E12" s="137" t="str">
        <f>guest_lists[[#This Row],[guest_lists]]</f>
        <v>Valerie Mead</v>
      </c>
      <c r="F12" s="137" t="str">
        <f>guest_lists[[#This Row],[party]]</f>
        <v>party_4 G2</v>
      </c>
      <c r="G12" s="137" t="str">
        <f>guest_lists[[#This Row],[dietary_requirements2]]</f>
        <v>nil</v>
      </c>
      <c r="H12" s="128"/>
      <c r="I12" s="21"/>
    </row>
    <row r="13" spans="1:9" ht="16.8" thickTop="1" thickBot="1" x14ac:dyDescent="0.35">
      <c r="A13" s="212"/>
      <c r="B13" s="213"/>
      <c r="C13" s="215"/>
      <c r="D13" s="137" t="str">
        <f>guest_lists[[#This Row],[tour_type]]</f>
        <v>12 - DSCYT</v>
      </c>
      <c r="E13" s="137" t="str">
        <f>guest_lists[[#This Row],[guest_lists]]</f>
        <v>Ann Berriman</v>
      </c>
      <c r="F13" s="137" t="str">
        <f>guest_lists[[#This Row],[party]]</f>
        <v>party_5 G1</v>
      </c>
      <c r="G13" s="137" t="str">
        <f>guest_lists[[#This Row],[dietary_requirements2]]</f>
        <v>nil</v>
      </c>
      <c r="H13" s="128"/>
      <c r="I13" s="21"/>
    </row>
    <row r="14" spans="1:9" ht="15" customHeight="1" thickTop="1" x14ac:dyDescent="0.3">
      <c r="A14" s="212"/>
      <c r="B14" s="318" t="s">
        <v>512</v>
      </c>
      <c r="C14" s="215"/>
      <c r="D14" s="137" t="str">
        <f>guest_lists[[#This Row],[tour_type]]</f>
        <v>12 - DSCYT</v>
      </c>
      <c r="E14" s="137" t="str">
        <f>guest_lists[[#This Row],[guest_lists]]</f>
        <v>Wanda Drost</v>
      </c>
      <c r="F14" s="137" t="str">
        <f>guest_lists[[#This Row],[party]]</f>
        <v>party_5 G2</v>
      </c>
      <c r="G14" s="137" t="str">
        <f>guest_lists[[#This Row],[dietary_requirements2]]</f>
        <v>celiac</v>
      </c>
      <c r="H14" s="128"/>
      <c r="I14" s="21"/>
    </row>
    <row r="15" spans="1:9" ht="15" customHeight="1" thickBot="1" x14ac:dyDescent="0.35">
      <c r="A15" s="212"/>
      <c r="B15" s="319"/>
      <c r="C15" s="215"/>
      <c r="D15" s="137" t="str">
        <f>guest_lists[[#This Row],[tour_type]]</f>
        <v>5 - DTT</v>
      </c>
      <c r="E15" s="137" t="str">
        <f>guest_lists[[#This Row],[guest_lists]]</f>
        <v>Ian Neil</v>
      </c>
      <c r="F15" s="137" t="str">
        <f>guest_lists[[#This Row],[party]]</f>
        <v>party_6 G1</v>
      </c>
      <c r="G15" s="137" t="str">
        <f>guest_lists[[#This Row],[dietary_requirements2]]</f>
        <v>nil</v>
      </c>
      <c r="H15" s="4"/>
      <c r="I15" s="21"/>
    </row>
    <row r="16" spans="1:9" ht="16.8" thickTop="1" thickBot="1" x14ac:dyDescent="0.35">
      <c r="A16" s="212"/>
      <c r="B16" s="213"/>
      <c r="C16" s="215"/>
      <c r="D16" s="137" t="str">
        <f>guest_lists[[#This Row],[tour_type]]</f>
        <v>5 - DTT</v>
      </c>
      <c r="E16" s="137" t="str">
        <f>guest_lists[[#This Row],[guest_lists]]</f>
        <v>Graheme Fergueson</v>
      </c>
      <c r="F16" s="137" t="str">
        <f>guest_lists[[#This Row],[party]]</f>
        <v>party_6 G2</v>
      </c>
      <c r="G16" s="137" t="str">
        <f>guest_lists[[#This Row],[dietary_requirements2]]</f>
        <v>nil</v>
      </c>
      <c r="H16" s="4"/>
      <c r="I16" s="21"/>
    </row>
    <row r="17" spans="1:9" ht="15" thickTop="1" x14ac:dyDescent="0.3">
      <c r="A17" s="212"/>
      <c r="B17" s="318" t="s">
        <v>266</v>
      </c>
      <c r="C17" s="215"/>
      <c r="D17" s="137" t="str">
        <f>guest_lists[[#This Row],[tour_type]]</f>
        <v>9 - DPSYT</v>
      </c>
      <c r="E17" s="137" t="str">
        <f>guest_lists[[#This Row],[guest_lists]]</f>
        <v>Raewyn Brookie</v>
      </c>
      <c r="F17" s="137" t="str">
        <f>guest_lists[[#This Row],[party]]</f>
        <v>party_7 G1</v>
      </c>
      <c r="G17" s="137" t="str">
        <f>guest_lists[[#This Row],[dietary_requirements2]]</f>
        <v>nil</v>
      </c>
      <c r="H17" s="4"/>
      <c r="I17" s="21"/>
    </row>
    <row r="18" spans="1:9" ht="15" thickBot="1" x14ac:dyDescent="0.35">
      <c r="A18" s="212"/>
      <c r="B18" s="319"/>
      <c r="C18" s="215"/>
      <c r="D18" s="137" t="e">
        <f>guest_lists[[#This Row],[tour_type]]</f>
        <v>#VALUE!</v>
      </c>
      <c r="E18" s="137" t="e">
        <f>guest_lists[[#This Row],[guest_lists]]</f>
        <v>#VALUE!</v>
      </c>
      <c r="F18" s="137" t="e">
        <f>guest_lists[[#This Row],[party]]</f>
        <v>#VALUE!</v>
      </c>
      <c r="G18" s="137" t="e">
        <f>guest_lists[[#This Row],[dietary_requirements2]]</f>
        <v>#VALUE!</v>
      </c>
      <c r="H18" s="4"/>
      <c r="I18" s="21"/>
    </row>
    <row r="19" spans="1:9" ht="15" customHeight="1" thickTop="1" thickBot="1" x14ac:dyDescent="0.35">
      <c r="A19" s="212"/>
      <c r="B19" s="213"/>
      <c r="C19" s="215"/>
      <c r="D19" s="325" t="s">
        <v>33</v>
      </c>
      <c r="E19" s="326"/>
      <c r="F19" s="326"/>
      <c r="G19" s="326"/>
      <c r="H19" s="326"/>
      <c r="I19" s="327"/>
    </row>
    <row r="20" spans="1:9" ht="15" customHeight="1" thickTop="1" x14ac:dyDescent="0.3">
      <c r="A20" s="212"/>
      <c r="B20" s="318" t="s">
        <v>267</v>
      </c>
      <c r="C20" s="215"/>
      <c r="D20" s="129" t="str">
        <f>Runsheet!E8</f>
        <v>Accommodation Booked</v>
      </c>
      <c r="E20" s="73" t="str">
        <f>Runsheet!E9</f>
        <v>Accommodation Entity</v>
      </c>
      <c r="F20" s="73" t="str">
        <f>Runsheet!F9</f>
        <v>Address</v>
      </c>
      <c r="G20" s="73" t="str">
        <f>Runsheet!G9</f>
        <v>Number of rooms on hold</v>
      </c>
      <c r="H20" s="73" t="str">
        <f>Runsheet!H9</f>
        <v>Bedding Configuration Booked</v>
      </c>
      <c r="I20" s="130" t="str">
        <f>Runsheet!I9</f>
        <v>Contact Details</v>
      </c>
    </row>
    <row r="21" spans="1:9" ht="15" thickBot="1" x14ac:dyDescent="0.35">
      <c r="A21" s="212"/>
      <c r="B21" s="319"/>
      <c r="C21" s="215"/>
      <c r="D21" s="131" t="str">
        <f>Runsheet!D10</f>
        <v>Accommodation #1</v>
      </c>
      <c r="E21" s="61" t="str">
        <f>Runsheet!CG10</f>
        <v>Cairns Sheridan Hotel</v>
      </c>
      <c r="F21" s="61" t="str">
        <f>Runsheet!CH10</f>
        <v>295 Sheridan St, Cairns City QLD 4870</v>
      </c>
      <c r="G21" s="61">
        <f>Runsheet!CI10</f>
        <v>6</v>
      </c>
      <c r="H21" s="61">
        <f>Runsheet!CJ10</f>
        <v>0</v>
      </c>
      <c r="I21" s="61" t="str">
        <f>Runsheet!CK10</f>
        <v>(07) 4255 9000</v>
      </c>
    </row>
    <row r="22" spans="1:9" ht="15" customHeight="1" thickTop="1" thickBot="1" x14ac:dyDescent="0.35">
      <c r="A22" s="212"/>
      <c r="B22" s="213"/>
      <c r="C22" s="215"/>
      <c r="D22" s="131" t="str">
        <f>Runsheet!D11</f>
        <v>Accommodation #2</v>
      </c>
      <c r="E22" s="61" t="str">
        <f>Runsheet!CG11</f>
        <v>A None</v>
      </c>
      <c r="F22" s="61">
        <f>Runsheet!CH11</f>
        <v>0</v>
      </c>
      <c r="G22" s="61">
        <f>Runsheet!CI11</f>
        <v>0</v>
      </c>
      <c r="H22" s="61">
        <f>Runsheet!CJ11</f>
        <v>0</v>
      </c>
      <c r="I22" s="61">
        <f>Runsheet!CK11</f>
        <v>0</v>
      </c>
    </row>
    <row r="23" spans="1:9" ht="12.6" customHeight="1" thickTop="1" x14ac:dyDescent="0.3">
      <c r="A23" s="212"/>
      <c r="B23" s="318" t="s">
        <v>268</v>
      </c>
      <c r="C23" s="215"/>
      <c r="D23" s="131" t="str">
        <f>Runsheet!D12</f>
        <v>Accommodation #3</v>
      </c>
      <c r="E23" s="61" t="str">
        <f>Runsheet!CG12</f>
        <v>A None</v>
      </c>
      <c r="F23" s="61">
        <f>Runsheet!CH12</f>
        <v>0</v>
      </c>
      <c r="G23" s="61">
        <f>Runsheet!CI12</f>
        <v>0</v>
      </c>
      <c r="H23" s="61">
        <f>Runsheet!CJ12</f>
        <v>0</v>
      </c>
      <c r="I23" s="61">
        <f>Runsheet!CK12</f>
        <v>0</v>
      </c>
    </row>
    <row r="24" spans="1:9" ht="15" thickBot="1" x14ac:dyDescent="0.35">
      <c r="A24" s="212"/>
      <c r="B24" s="319"/>
      <c r="C24" s="215"/>
      <c r="D24" s="131" t="str">
        <f>Runsheet!D13</f>
        <v>Accommodation #4</v>
      </c>
      <c r="E24" s="61" t="str">
        <f>Runsheet!CG13</f>
        <v>A None</v>
      </c>
      <c r="F24" s="61">
        <f>Runsheet!CH13</f>
        <v>0</v>
      </c>
      <c r="G24" s="61">
        <f>Runsheet!CI13</f>
        <v>0</v>
      </c>
      <c r="H24" s="61">
        <f>Runsheet!CJ13</f>
        <v>0</v>
      </c>
      <c r="I24" s="61">
        <f>Runsheet!CK13</f>
        <v>0</v>
      </c>
    </row>
    <row r="25" spans="1:9" ht="15.6" customHeight="1" thickTop="1" thickBot="1" x14ac:dyDescent="0.35">
      <c r="A25" s="212"/>
      <c r="B25" s="213"/>
      <c r="C25" s="215"/>
      <c r="D25" s="19"/>
      <c r="E25" s="4"/>
      <c r="F25" s="20" t="str">
        <f>Runsheet!F14</f>
        <v xml:space="preserve">Total Accommodation </v>
      </c>
      <c r="G25" s="74">
        <f>Runsheet!AE14</f>
        <v>8</v>
      </c>
      <c r="H25" s="4"/>
      <c r="I25" s="21"/>
    </row>
    <row r="26" spans="1:9" ht="15.6" customHeight="1" thickTop="1" x14ac:dyDescent="0.3">
      <c r="A26" s="212"/>
      <c r="B26" s="318" t="s">
        <v>269</v>
      </c>
      <c r="C26" s="215"/>
      <c r="D26" s="19"/>
      <c r="E26" s="4"/>
      <c r="F26" s="4"/>
      <c r="G26" s="4"/>
      <c r="H26" s="4"/>
      <c r="I26" s="21"/>
    </row>
    <row r="27" spans="1:9" ht="15" thickBot="1" x14ac:dyDescent="0.35">
      <c r="A27" s="212"/>
      <c r="B27" s="319"/>
      <c r="C27" s="215"/>
      <c r="D27" s="325" t="str">
        <f>Runsheet!D15</f>
        <v>Guests Accommodation</v>
      </c>
      <c r="E27" s="326"/>
      <c r="F27" s="326"/>
      <c r="G27" s="326"/>
      <c r="H27" s="326"/>
      <c r="I27" s="327"/>
    </row>
    <row r="28" spans="1:9" ht="15" customHeight="1" thickTop="1" thickBot="1" x14ac:dyDescent="0.35">
      <c r="A28" s="212"/>
      <c r="B28" s="213"/>
      <c r="C28" s="215"/>
      <c r="D28" s="100" t="s">
        <v>195</v>
      </c>
      <c r="E28" s="76" t="s">
        <v>36</v>
      </c>
      <c r="F28" s="72" t="s">
        <v>33</v>
      </c>
      <c r="G28" s="20" t="s">
        <v>161</v>
      </c>
      <c r="H28" s="20" t="s">
        <v>186</v>
      </c>
      <c r="I28" s="48" t="s">
        <v>189</v>
      </c>
    </row>
    <row r="29" spans="1:9" ht="15" customHeight="1" thickTop="1" x14ac:dyDescent="0.3">
      <c r="A29" s="212"/>
      <c r="B29" s="318" t="s">
        <v>270</v>
      </c>
      <c r="C29" s="215"/>
      <c r="D29" s="353" t="str">
        <f>Runsheet!D17</f>
        <v>Party 1</v>
      </c>
      <c r="E29" s="65" t="str">
        <f>Runsheet!E17</f>
        <v>Penelope Lister</v>
      </c>
      <c r="F29" s="65" t="str">
        <f>Runsheet!CI17</f>
        <v>Cairns Sheridan Hotel</v>
      </c>
      <c r="G29" s="65" t="str">
        <f>Runsheet!CJ17</f>
        <v>double</v>
      </c>
      <c r="H29" s="65">
        <f>Runsheet!CK17</f>
        <v>0</v>
      </c>
      <c r="I29" s="65">
        <f>Runsheet!CL17</f>
        <v>0</v>
      </c>
    </row>
    <row r="30" spans="1:9" ht="15" thickBot="1" x14ac:dyDescent="0.35">
      <c r="A30" s="212"/>
      <c r="B30" s="319"/>
      <c r="C30" s="215"/>
      <c r="D30" s="353"/>
      <c r="E30" s="65" t="str">
        <f>Runsheet!E18</f>
        <v>Gerald Lister</v>
      </c>
      <c r="F30" s="65" t="str">
        <f>Runsheet!CI18</f>
        <v>Cairns Sheridan Hotel</v>
      </c>
      <c r="G30" s="65" t="str">
        <f>Runsheet!CJ18</f>
        <v>double</v>
      </c>
      <c r="H30" s="65">
        <f>Runsheet!CK18</f>
        <v>0</v>
      </c>
      <c r="I30" s="65">
        <f>Runsheet!CL18</f>
        <v>0</v>
      </c>
    </row>
    <row r="31" spans="1:9" ht="15" customHeight="1" thickTop="1" thickBot="1" x14ac:dyDescent="0.35">
      <c r="A31" s="212"/>
      <c r="B31" s="213"/>
      <c r="C31" s="215"/>
      <c r="D31" s="353" t="str">
        <f>Runsheet!D19</f>
        <v>Party 2</v>
      </c>
      <c r="E31" s="65" t="str">
        <f>Runsheet!E19</f>
        <v>Denis Lister</v>
      </c>
      <c r="F31" s="65" t="str">
        <f>Runsheet!CI19</f>
        <v>Cairns Sheridan Hotel</v>
      </c>
      <c r="G31" s="65" t="str">
        <f>Runsheet!CJ19</f>
        <v>double</v>
      </c>
      <c r="H31" s="65">
        <f>Runsheet!CK19</f>
        <v>0</v>
      </c>
      <c r="I31" s="65">
        <f>Runsheet!CL19</f>
        <v>0</v>
      </c>
    </row>
    <row r="32" spans="1:9" ht="15" customHeight="1" thickTop="1" x14ac:dyDescent="0.3">
      <c r="A32" s="212"/>
      <c r="B32" s="318" t="s">
        <v>271</v>
      </c>
      <c r="C32" s="215"/>
      <c r="D32" s="353"/>
      <c r="E32" s="65" t="e">
        <f>Runsheet!E20</f>
        <v>#N/A</v>
      </c>
      <c r="F32" s="65">
        <f>Runsheet!CI20</f>
        <v>0</v>
      </c>
      <c r="G32" s="65">
        <f>Runsheet!CJ20</f>
        <v>0</v>
      </c>
      <c r="H32" s="65">
        <f>Runsheet!CK20</f>
        <v>0</v>
      </c>
      <c r="I32" s="65">
        <f>Runsheet!CL20</f>
        <v>0</v>
      </c>
    </row>
    <row r="33" spans="1:9" ht="15" thickBot="1" x14ac:dyDescent="0.35">
      <c r="A33" s="212"/>
      <c r="B33" s="319"/>
      <c r="C33" s="215"/>
      <c r="D33" s="353" t="str">
        <f>Runsheet!D21</f>
        <v>Party 3</v>
      </c>
      <c r="E33" s="65" t="str">
        <f>Runsheet!E21</f>
        <v>Mark Morgan</v>
      </c>
      <c r="F33" s="65" t="str">
        <f>Runsheet!CI21</f>
        <v>Cairns Sheridan Hotel</v>
      </c>
      <c r="G33" s="65" t="str">
        <f>Runsheet!CJ21</f>
        <v>double</v>
      </c>
      <c r="H33" s="65">
        <f>Runsheet!CK21</f>
        <v>0</v>
      </c>
      <c r="I33" s="65">
        <f>Runsheet!CL21</f>
        <v>0</v>
      </c>
    </row>
    <row r="34" spans="1:9" ht="15" customHeight="1" thickTop="1" thickBot="1" x14ac:dyDescent="0.35">
      <c r="A34" s="212"/>
      <c r="B34" s="213"/>
      <c r="C34" s="215"/>
      <c r="D34" s="353"/>
      <c r="E34" s="65" t="str">
        <f>Runsheet!E22</f>
        <v>Nicola Morgan</v>
      </c>
      <c r="F34" s="65" t="str">
        <f>Runsheet!CI22</f>
        <v>Cairns Sheridan Hotel</v>
      </c>
      <c r="G34" s="65" t="str">
        <f>Runsheet!CJ22</f>
        <v>double</v>
      </c>
      <c r="H34" s="65">
        <f>Runsheet!CK22</f>
        <v>0</v>
      </c>
      <c r="I34" s="65">
        <f>Runsheet!CL22</f>
        <v>0</v>
      </c>
    </row>
    <row r="35" spans="1:9" ht="15" customHeight="1" thickTop="1" x14ac:dyDescent="0.3">
      <c r="A35" s="212"/>
      <c r="B35" s="318" t="s">
        <v>272</v>
      </c>
      <c r="C35" s="215"/>
      <c r="D35" s="353" t="str">
        <f>Runsheet!D23</f>
        <v>Party 4</v>
      </c>
      <c r="E35" s="65" t="str">
        <f>Runsheet!E23</f>
        <v>Joan Roberts</v>
      </c>
      <c r="F35" s="65" t="str">
        <f>Runsheet!CI23</f>
        <v>Cairns Sheridan Hotel</v>
      </c>
      <c r="G35" s="65" t="str">
        <f>Runsheet!CJ23</f>
        <v>double</v>
      </c>
      <c r="H35" s="65">
        <f>Runsheet!CK23</f>
        <v>0</v>
      </c>
      <c r="I35" s="65">
        <f>Runsheet!CL23</f>
        <v>0</v>
      </c>
    </row>
    <row r="36" spans="1:9" ht="15" thickBot="1" x14ac:dyDescent="0.35">
      <c r="A36" s="212"/>
      <c r="B36" s="319"/>
      <c r="C36" s="215"/>
      <c r="D36" s="353"/>
      <c r="E36" s="65" t="str">
        <f>Runsheet!E24</f>
        <v>Valerie Mead</v>
      </c>
      <c r="F36" s="65" t="str">
        <f>Runsheet!CI24</f>
        <v>Cairns Sheridan Hotel</v>
      </c>
      <c r="G36" s="65" t="str">
        <f>Runsheet!CJ24</f>
        <v>double</v>
      </c>
      <c r="H36" s="65">
        <f>Runsheet!CK24</f>
        <v>0</v>
      </c>
      <c r="I36" s="65">
        <f>Runsheet!CL24</f>
        <v>0</v>
      </c>
    </row>
    <row r="37" spans="1:9" ht="15" customHeight="1" thickTop="1" thickBot="1" x14ac:dyDescent="0.35">
      <c r="A37" s="212"/>
      <c r="B37" s="213"/>
      <c r="C37" s="215"/>
      <c r="D37" s="353" t="str">
        <f>Runsheet!D25</f>
        <v>Party 5</v>
      </c>
      <c r="E37" s="65" t="str">
        <f>Runsheet!E25</f>
        <v>Ann Berriman</v>
      </c>
      <c r="F37" s="65" t="str">
        <f>Runsheet!CI25</f>
        <v>Cairns Sheridan Hotel</v>
      </c>
      <c r="G37" s="65" t="str">
        <f>Runsheet!CJ25</f>
        <v>double</v>
      </c>
      <c r="H37" s="65">
        <f>Runsheet!CK25</f>
        <v>0</v>
      </c>
      <c r="I37" s="65">
        <f>Runsheet!CL25</f>
        <v>0</v>
      </c>
    </row>
    <row r="38" spans="1:9" ht="15" customHeight="1" thickTop="1" x14ac:dyDescent="0.3">
      <c r="A38" s="212"/>
      <c r="B38" s="318" t="s">
        <v>273</v>
      </c>
      <c r="C38" s="215"/>
      <c r="D38" s="353"/>
      <c r="E38" s="65" t="str">
        <f>Runsheet!E26</f>
        <v>Wanda Drost</v>
      </c>
      <c r="F38" s="65" t="str">
        <f>Runsheet!CI26</f>
        <v>Cairns Sheridan Hotel</v>
      </c>
      <c r="G38" s="65" t="str">
        <f>Runsheet!CJ26</f>
        <v>double</v>
      </c>
      <c r="H38" s="65">
        <f>Runsheet!CK26</f>
        <v>0</v>
      </c>
      <c r="I38" s="65">
        <f>Runsheet!CL26</f>
        <v>0</v>
      </c>
    </row>
    <row r="39" spans="1:9" ht="15" thickBot="1" x14ac:dyDescent="0.35">
      <c r="A39" s="212"/>
      <c r="B39" s="319"/>
      <c r="C39" s="215"/>
      <c r="D39" s="353" t="str">
        <f>Runsheet!D27</f>
        <v>Party 6</v>
      </c>
      <c r="E39" s="65" t="str">
        <f>Runsheet!E27</f>
        <v>Ian Neil</v>
      </c>
      <c r="F39" s="65">
        <f>Runsheet!CI27</f>
        <v>0</v>
      </c>
      <c r="G39" s="65">
        <f>Runsheet!CJ27</f>
        <v>0</v>
      </c>
      <c r="H39" s="65">
        <f>Runsheet!CK27</f>
        <v>0</v>
      </c>
      <c r="I39" s="65">
        <f>Runsheet!CL27</f>
        <v>0</v>
      </c>
    </row>
    <row r="40" spans="1:9" ht="15" customHeight="1" thickTop="1" thickBot="1" x14ac:dyDescent="0.35">
      <c r="A40" s="212"/>
      <c r="B40" s="213"/>
      <c r="C40" s="215"/>
      <c r="D40" s="353"/>
      <c r="E40" s="65" t="str">
        <f>Runsheet!E28</f>
        <v>Graheme Fergueson</v>
      </c>
      <c r="F40" s="65">
        <f>Runsheet!CI28</f>
        <v>0</v>
      </c>
      <c r="G40" s="65">
        <f>Runsheet!CJ28</f>
        <v>0</v>
      </c>
      <c r="H40" s="65">
        <f>Runsheet!CK28</f>
        <v>0</v>
      </c>
      <c r="I40" s="65">
        <f>Runsheet!CL28</f>
        <v>0</v>
      </c>
    </row>
    <row r="41" spans="1:9" ht="15" customHeight="1" thickTop="1" x14ac:dyDescent="0.3">
      <c r="A41" s="212"/>
      <c r="B41" s="318" t="s">
        <v>274</v>
      </c>
      <c r="C41" s="215"/>
      <c r="D41" s="353" t="str">
        <f>Runsheet!D29</f>
        <v>Party 7</v>
      </c>
      <c r="E41" s="65" t="str">
        <f>Runsheet!E29</f>
        <v>Raewyn Brookie</v>
      </c>
      <c r="F41" s="65" t="str">
        <f>Runsheet!CI29</f>
        <v>Cairns Sheridan Hotel</v>
      </c>
      <c r="G41" s="65" t="str">
        <f>Runsheet!CJ29</f>
        <v>double</v>
      </c>
      <c r="H41" s="65">
        <f>Runsheet!CK29</f>
        <v>0</v>
      </c>
      <c r="I41" s="65">
        <f>Runsheet!CL29</f>
        <v>0</v>
      </c>
    </row>
    <row r="42" spans="1:9" ht="15" thickBot="1" x14ac:dyDescent="0.35">
      <c r="A42" s="212"/>
      <c r="B42" s="319"/>
      <c r="C42" s="215"/>
      <c r="D42" s="353"/>
      <c r="E42" s="65" t="e">
        <f>Runsheet!E30</f>
        <v>#N/A</v>
      </c>
      <c r="F42" s="65">
        <f>Runsheet!CI30</f>
        <v>0</v>
      </c>
      <c r="G42" s="65">
        <f>Runsheet!CJ30</f>
        <v>0</v>
      </c>
      <c r="H42" s="65">
        <f>Runsheet!CK30</f>
        <v>0</v>
      </c>
      <c r="I42" s="65">
        <f>Runsheet!CL30</f>
        <v>0</v>
      </c>
    </row>
    <row r="43" spans="1:9" ht="16.8" thickTop="1" thickBot="1" x14ac:dyDescent="0.35">
      <c r="A43" s="212"/>
      <c r="B43" s="213"/>
      <c r="C43" s="215"/>
      <c r="D43" s="325" t="str">
        <f>Runsheet!D36</f>
        <v>Dinning Arrangements</v>
      </c>
      <c r="E43" s="326"/>
      <c r="F43" s="326"/>
      <c r="G43" s="326"/>
      <c r="H43" s="326"/>
      <c r="I43" s="327"/>
    </row>
    <row r="44" spans="1:9" ht="15" customHeight="1" thickTop="1" x14ac:dyDescent="0.3">
      <c r="A44" s="212"/>
      <c r="B44" s="318" t="s">
        <v>275</v>
      </c>
      <c r="C44" s="215"/>
      <c r="D44" s="19"/>
      <c r="E44" s="4"/>
      <c r="F44" s="4"/>
      <c r="G44" s="4"/>
      <c r="H44" s="4"/>
      <c r="I44" s="21"/>
    </row>
    <row r="45" spans="1:9" ht="15" customHeight="1" thickBot="1" x14ac:dyDescent="0.35">
      <c r="A45" s="212"/>
      <c r="B45" s="319"/>
      <c r="C45" s="215"/>
      <c r="D45" s="328" t="str">
        <f>Runsheet!D37</f>
        <v xml:space="preserve">Breakfast </v>
      </c>
      <c r="E45" s="329" t="str">
        <f>Runsheet!CG37</f>
        <v>Cooked Breakfast at Punsand Bay</v>
      </c>
      <c r="F45" s="330"/>
      <c r="G45" s="330"/>
      <c r="H45" s="330"/>
      <c r="I45" s="331"/>
    </row>
    <row r="46" spans="1:9" ht="16.8" thickTop="1" thickBot="1" x14ac:dyDescent="0.35">
      <c r="A46" s="212"/>
      <c r="B46" s="213"/>
      <c r="C46" s="215"/>
      <c r="D46" s="328"/>
      <c r="E46" s="332"/>
      <c r="F46" s="333"/>
      <c r="G46" s="333"/>
      <c r="H46" s="333"/>
      <c r="I46" s="334"/>
    </row>
    <row r="47" spans="1:9" ht="57.6" customHeight="1" thickTop="1" x14ac:dyDescent="0.3">
      <c r="A47" s="212"/>
      <c r="B47" s="318" t="s">
        <v>276</v>
      </c>
      <c r="C47" s="215"/>
      <c r="D47" s="328" t="str">
        <f>Runsheet!D39</f>
        <v xml:space="preserve">Lunch </v>
      </c>
      <c r="E47" s="329" t="str">
        <f>Runsheet!CG39</f>
        <v>Lunch 11:30 - 1:00pm @top pub - guide to arrive at 11am tables no reservations availiable</v>
      </c>
      <c r="F47" s="330"/>
      <c r="G47" s="330"/>
      <c r="H47" s="330"/>
      <c r="I47" s="331"/>
    </row>
    <row r="48" spans="1:9" ht="15" customHeight="1" thickBot="1" x14ac:dyDescent="0.35">
      <c r="A48" s="212"/>
      <c r="B48" s="319"/>
      <c r="C48" s="215"/>
      <c r="D48" s="328"/>
      <c r="E48" s="332"/>
      <c r="F48" s="333"/>
      <c r="G48" s="333"/>
      <c r="H48" s="333"/>
      <c r="I48" s="334"/>
    </row>
    <row r="49" spans="1:9" ht="28.8" customHeight="1" thickTop="1" thickBot="1" x14ac:dyDescent="0.35">
      <c r="A49" s="212"/>
      <c r="B49" s="213"/>
      <c r="C49" s="215"/>
      <c r="D49" s="328" t="str">
        <f>Runsheet!D41</f>
        <v xml:space="preserve">Dinner </v>
      </c>
      <c r="E49" s="329" t="str">
        <f>Runsheet!CG41</f>
        <v xml:space="preserve">$35pp dinner Sheridan </v>
      </c>
      <c r="F49" s="330"/>
      <c r="G49" s="330"/>
      <c r="H49" s="330"/>
      <c r="I49" s="331"/>
    </row>
    <row r="50" spans="1:9" ht="15" customHeight="1" thickTop="1" x14ac:dyDescent="0.3">
      <c r="A50" s="212"/>
      <c r="B50" s="318" t="s">
        <v>277</v>
      </c>
      <c r="C50" s="215"/>
      <c r="D50" s="328"/>
      <c r="E50" s="332"/>
      <c r="F50" s="333"/>
      <c r="G50" s="333"/>
      <c r="H50" s="333"/>
      <c r="I50" s="334"/>
    </row>
    <row r="51" spans="1:9" ht="15" customHeight="1" thickBot="1" x14ac:dyDescent="0.35">
      <c r="A51" s="212"/>
      <c r="B51" s="319"/>
      <c r="C51" s="215"/>
      <c r="D51" s="134"/>
      <c r="E51" s="142"/>
      <c r="F51" s="142"/>
      <c r="G51" s="142"/>
      <c r="H51" s="142"/>
      <c r="I51" s="143"/>
    </row>
    <row r="52" spans="1:9" ht="16.2" thickTop="1" x14ac:dyDescent="0.3">
      <c r="A52" s="212"/>
      <c r="B52" s="213"/>
      <c r="C52" s="215"/>
      <c r="D52" s="325" t="s">
        <v>210</v>
      </c>
      <c r="E52" s="326"/>
      <c r="F52" s="326"/>
      <c r="G52" s="326"/>
      <c r="H52" s="326"/>
      <c r="I52" s="327"/>
    </row>
    <row r="53" spans="1:9" ht="15" customHeight="1" x14ac:dyDescent="0.3">
      <c r="A53" s="212"/>
      <c r="B53" s="213"/>
      <c r="C53" s="215"/>
      <c r="D53" s="360" t="str">
        <f>Runsheet!CF44</f>
        <v>1) Peddells  Ferry - 8:00am + 90 min tour of Thursday Island - 9:20am -11am FOC GUIDE (CONFIRMED 1016856)  / 2) McDonald ferry TIS-HID - 13:20pm (CONFIRMED) /                                                                                            3) QF Flights - 15:35 (CONFIRMED - 5QZE44 &amp; 6ZH56L &amp; 6AA68B ) / 4) Transfer from CNS Airport (TO BE BOOKED)</v>
      </c>
      <c r="E53" s="360"/>
      <c r="F53" s="360"/>
      <c r="G53" s="360"/>
      <c r="H53" s="360"/>
      <c r="I53" s="360"/>
    </row>
    <row r="54" spans="1:9" ht="15" customHeight="1" x14ac:dyDescent="0.3">
      <c r="A54" s="212"/>
      <c r="B54" s="231"/>
      <c r="C54" s="215"/>
      <c r="D54" s="360"/>
      <c r="E54" s="360"/>
      <c r="F54" s="360"/>
      <c r="G54" s="360"/>
      <c r="H54" s="360"/>
      <c r="I54" s="360"/>
    </row>
    <row r="55" spans="1:9" x14ac:dyDescent="0.3">
      <c r="A55" s="212"/>
      <c r="B55" s="231"/>
      <c r="C55" s="215"/>
      <c r="D55" s="360">
        <f>Runsheet!CF45</f>
        <v>0</v>
      </c>
      <c r="E55" s="360"/>
      <c r="F55" s="360"/>
      <c r="G55" s="360"/>
      <c r="H55" s="360"/>
      <c r="I55" s="360"/>
    </row>
    <row r="56" spans="1:9" x14ac:dyDescent="0.3">
      <c r="A56" s="212"/>
      <c r="B56" s="213"/>
      <c r="C56" s="215"/>
      <c r="D56" s="360"/>
      <c r="E56" s="360"/>
      <c r="F56" s="360"/>
      <c r="G56" s="360"/>
      <c r="H56" s="360"/>
      <c r="I56" s="360"/>
    </row>
    <row r="57" spans="1:9" x14ac:dyDescent="0.3">
      <c r="A57" s="212"/>
      <c r="B57" s="213"/>
      <c r="C57" s="215"/>
      <c r="D57" s="325" t="s">
        <v>377</v>
      </c>
      <c r="E57" s="326"/>
      <c r="F57" s="326"/>
      <c r="G57" s="326"/>
      <c r="H57" s="326"/>
      <c r="I57" s="327"/>
    </row>
    <row r="58" spans="1:9" x14ac:dyDescent="0.3">
      <c r="A58" s="212"/>
      <c r="B58" s="213"/>
      <c r="C58" s="215"/>
      <c r="D58" s="232"/>
      <c r="E58" s="242" cm="1">
        <f t="array" ref="E58:H58">day_11_itinerary_highlights[]</f>
        <v>0</v>
      </c>
      <c r="F58" s="138">
        <v>0</v>
      </c>
      <c r="G58" s="138">
        <v>0</v>
      </c>
      <c r="H58" s="138">
        <v>0</v>
      </c>
      <c r="I58" s="233"/>
    </row>
    <row r="59" spans="1:9" x14ac:dyDescent="0.3">
      <c r="A59" s="212"/>
      <c r="B59" s="213"/>
      <c r="C59" s="215"/>
      <c r="D59" s="234"/>
      <c r="E59" s="235"/>
      <c r="F59" s="235"/>
      <c r="G59" s="235"/>
      <c r="H59" s="235"/>
      <c r="I59" s="236"/>
    </row>
    <row r="60" spans="1:9" x14ac:dyDescent="0.3">
      <c r="A60" s="212"/>
      <c r="B60" s="213"/>
      <c r="C60" s="215"/>
      <c r="D60" s="325" t="s">
        <v>403</v>
      </c>
      <c r="E60" s="326"/>
      <c r="F60" s="326"/>
      <c r="G60" s="326"/>
      <c r="H60" s="326"/>
      <c r="I60" s="327"/>
    </row>
    <row r="61" spans="1:9" x14ac:dyDescent="0.3">
      <c r="A61" s="212"/>
      <c r="B61" s="213"/>
      <c r="C61" s="215"/>
      <c r="D61" s="364" t="s">
        <v>426</v>
      </c>
      <c r="E61" s="365"/>
      <c r="F61" s="365"/>
      <c r="G61" s="365"/>
      <c r="H61" s="365"/>
      <c r="I61" s="366"/>
    </row>
    <row r="62" spans="1:9" x14ac:dyDescent="0.3">
      <c r="A62" s="212"/>
      <c r="B62" s="213"/>
      <c r="C62" s="215"/>
      <c r="D62" s="258"/>
      <c r="E62" s="259"/>
      <c r="F62" s="259"/>
      <c r="G62" s="259"/>
      <c r="H62" s="259"/>
      <c r="I62" s="260"/>
    </row>
    <row r="63" spans="1:9" x14ac:dyDescent="0.3">
      <c r="A63" s="212"/>
      <c r="B63" s="213"/>
      <c r="C63" s="215"/>
      <c r="D63" s="258"/>
      <c r="E63" s="259"/>
      <c r="F63" s="259"/>
      <c r="G63" s="259"/>
      <c r="H63" s="259"/>
      <c r="I63" s="260"/>
    </row>
    <row r="64" spans="1:9" x14ac:dyDescent="0.3">
      <c r="A64" s="212"/>
      <c r="B64" s="213"/>
      <c r="C64" s="215"/>
      <c r="D64" s="361" t="s">
        <v>209</v>
      </c>
      <c r="E64" s="362"/>
      <c r="F64" s="362"/>
      <c r="G64" s="362"/>
      <c r="H64" s="362"/>
      <c r="I64" s="363"/>
    </row>
    <row r="65" spans="1:9" x14ac:dyDescent="0.3">
      <c r="A65" s="212"/>
      <c r="B65" s="213"/>
      <c r="C65" s="215"/>
      <c r="D65" s="359" t="s">
        <v>97</v>
      </c>
      <c r="E65" s="33" t="s">
        <v>11</v>
      </c>
      <c r="F65" s="39" t="str">
        <f>'Rest Runsheet Food'!Z10</f>
        <v>Continental</v>
      </c>
      <c r="G65" s="39">
        <f>'Rest Runsheet Food'!AA10</f>
        <v>11</v>
      </c>
      <c r="H65" s="4"/>
      <c r="I65" s="21"/>
    </row>
    <row r="66" spans="1:9" x14ac:dyDescent="0.3">
      <c r="A66" s="212"/>
      <c r="B66" s="213"/>
      <c r="C66" s="215"/>
      <c r="D66" s="339"/>
      <c r="E66" s="30" t="s">
        <v>9</v>
      </c>
      <c r="F66" s="39" t="str">
        <f>'Rest Runsheet Food'!Z11</f>
        <v>N/A</v>
      </c>
      <c r="G66" s="39">
        <f>'Rest Runsheet Food'!AA11</f>
        <v>0</v>
      </c>
      <c r="H66" s="4"/>
      <c r="I66" s="21"/>
    </row>
    <row r="67" spans="1:9" x14ac:dyDescent="0.3">
      <c r="A67" s="212"/>
      <c r="B67" s="213"/>
      <c r="C67" s="215"/>
      <c r="D67" s="340"/>
      <c r="E67" s="34" t="s">
        <v>1</v>
      </c>
      <c r="F67" s="39" t="str">
        <f>'Rest Runsheet Food'!Z12</f>
        <v>N/A</v>
      </c>
      <c r="G67" s="39">
        <f>'Rest Runsheet Food'!AA12</f>
        <v>0</v>
      </c>
      <c r="H67" s="4"/>
      <c r="I67" s="21"/>
    </row>
    <row r="68" spans="1:9" x14ac:dyDescent="0.3">
      <c r="A68" s="212"/>
      <c r="B68" s="213"/>
      <c r="C68" s="215"/>
      <c r="D68" s="19"/>
      <c r="E68" s="4"/>
      <c r="F68" s="4"/>
      <c r="G68" s="4"/>
      <c r="H68" s="4"/>
      <c r="I68" s="21"/>
    </row>
    <row r="69" spans="1:9" x14ac:dyDescent="0.3">
      <c r="A69" s="212"/>
      <c r="B69" s="213"/>
      <c r="C69" s="215"/>
      <c r="D69" s="19"/>
      <c r="E69" s="4"/>
      <c r="F69" s="141" t="s">
        <v>76</v>
      </c>
      <c r="G69" s="38" t="s">
        <v>77</v>
      </c>
      <c r="H69" s="4"/>
      <c r="I69" s="21"/>
    </row>
    <row r="70" spans="1:9" x14ac:dyDescent="0.3">
      <c r="A70" s="212"/>
      <c r="B70" s="213"/>
      <c r="C70" s="215"/>
      <c r="D70" s="341" t="s">
        <v>120</v>
      </c>
      <c r="E70" s="33" t="s">
        <v>11</v>
      </c>
      <c r="F70" s="39" t="str">
        <f>'Rest Runsheet Food'!Z20</f>
        <v>Continental</v>
      </c>
      <c r="G70" s="39">
        <f>'Rest Runsheet Food'!AA20</f>
        <v>1</v>
      </c>
      <c r="H70" s="4"/>
      <c r="I70" s="21"/>
    </row>
    <row r="71" spans="1:9" x14ac:dyDescent="0.3">
      <c r="A71" s="212"/>
      <c r="B71" s="213"/>
      <c r="C71" s="215"/>
      <c r="D71" s="342"/>
      <c r="E71" s="30" t="s">
        <v>9</v>
      </c>
      <c r="F71" s="39" t="str">
        <f>'Rest Runsheet Food'!Z21</f>
        <v>N/A</v>
      </c>
      <c r="G71" s="39">
        <f>'Rest Runsheet Food'!AA21</f>
        <v>0</v>
      </c>
      <c r="H71" s="4"/>
      <c r="I71" s="21"/>
    </row>
    <row r="72" spans="1:9" x14ac:dyDescent="0.3">
      <c r="A72" s="212"/>
      <c r="B72" s="213"/>
      <c r="C72" s="215"/>
      <c r="D72" s="343"/>
      <c r="E72" s="34" t="s">
        <v>1</v>
      </c>
      <c r="F72" s="39" t="str">
        <f>'Rest Runsheet Food'!Z22</f>
        <v>N/A</v>
      </c>
      <c r="G72" s="39">
        <f>'Rest Runsheet Food'!AA22</f>
        <v>0</v>
      </c>
      <c r="H72" s="4"/>
      <c r="I72" s="21"/>
    </row>
    <row r="73" spans="1:9" x14ac:dyDescent="0.3">
      <c r="C73" s="218"/>
      <c r="D73" s="19"/>
      <c r="E73" s="4"/>
      <c r="F73" s="4"/>
      <c r="G73" s="4"/>
      <c r="H73" s="4"/>
      <c r="I73" s="21"/>
    </row>
    <row r="74" spans="1:9" x14ac:dyDescent="0.3">
      <c r="C74" s="218"/>
      <c r="D74" s="19"/>
      <c r="E74" s="4"/>
      <c r="F74" s="141" t="s">
        <v>76</v>
      </c>
      <c r="G74" s="38" t="s">
        <v>77</v>
      </c>
      <c r="H74" s="4"/>
      <c r="I74" s="21"/>
    </row>
    <row r="75" spans="1:9" x14ac:dyDescent="0.3">
      <c r="C75" s="218"/>
      <c r="D75" s="344" t="s">
        <v>123</v>
      </c>
      <c r="E75" s="33" t="s">
        <v>11</v>
      </c>
      <c r="F75" s="39" t="str">
        <f>'Rest Runsheet Food'!Z29</f>
        <v>Continental</v>
      </c>
      <c r="G75" s="39">
        <f>'Rest Runsheet Food'!AA29</f>
        <v>0</v>
      </c>
      <c r="H75" s="4"/>
      <c r="I75" s="21"/>
    </row>
    <row r="76" spans="1:9" x14ac:dyDescent="0.3">
      <c r="C76" s="218"/>
      <c r="D76" s="345"/>
      <c r="E76" s="30" t="s">
        <v>9</v>
      </c>
      <c r="F76" s="39" t="str">
        <f>'Rest Runsheet Food'!Z30</f>
        <v>N/A</v>
      </c>
      <c r="G76" s="39">
        <f>'Rest Runsheet Food'!AA30</f>
        <v>0</v>
      </c>
      <c r="H76" s="4"/>
      <c r="I76" s="21"/>
    </row>
    <row r="77" spans="1:9" x14ac:dyDescent="0.3">
      <c r="C77" s="218"/>
      <c r="D77" s="346"/>
      <c r="E77" s="34" t="s">
        <v>1</v>
      </c>
      <c r="F77" s="39" t="str">
        <f>'Rest Runsheet Food'!Z31</f>
        <v>N/A</v>
      </c>
      <c r="G77" s="39">
        <f>'Rest Runsheet Food'!AA31</f>
        <v>0</v>
      </c>
      <c r="H77" s="4"/>
      <c r="I77" s="21"/>
    </row>
    <row r="78" spans="1:9" x14ac:dyDescent="0.3">
      <c r="C78" s="218"/>
      <c r="D78" s="19"/>
      <c r="E78" s="4"/>
      <c r="F78" s="4"/>
      <c r="G78" s="4"/>
      <c r="H78" s="4"/>
      <c r="I78" s="21"/>
    </row>
    <row r="79" spans="1:9" x14ac:dyDescent="0.3">
      <c r="C79" s="218"/>
      <c r="D79" s="19"/>
      <c r="E79" s="4"/>
      <c r="F79" s="141" t="s">
        <v>76</v>
      </c>
      <c r="G79" s="38" t="s">
        <v>77</v>
      </c>
      <c r="H79" s="4"/>
      <c r="I79" s="21"/>
    </row>
    <row r="80" spans="1:9" x14ac:dyDescent="0.3">
      <c r="C80" s="218"/>
      <c r="D80" s="349" t="s">
        <v>126</v>
      </c>
      <c r="E80" s="33" t="s">
        <v>11</v>
      </c>
      <c r="F80" s="39" t="str">
        <f>'Rest Runsheet Food'!Z29</f>
        <v>Continental</v>
      </c>
      <c r="G80" s="39">
        <f>'Rest Runsheet Food'!AA29</f>
        <v>0</v>
      </c>
      <c r="H80" s="4"/>
      <c r="I80" s="21"/>
    </row>
    <row r="81" spans="3:9" ht="19.8" customHeight="1" x14ac:dyDescent="0.3">
      <c r="C81" s="218"/>
      <c r="D81" s="350"/>
      <c r="E81" s="30" t="s">
        <v>9</v>
      </c>
      <c r="F81" s="39" t="str">
        <f>'Rest Runsheet Food'!Z30</f>
        <v>N/A</v>
      </c>
      <c r="G81" s="39">
        <f>'Rest Runsheet Food'!AA30</f>
        <v>0</v>
      </c>
      <c r="H81" s="4"/>
      <c r="I81" s="21"/>
    </row>
    <row r="82" spans="3:9" x14ac:dyDescent="0.3">
      <c r="C82" s="218"/>
      <c r="D82" s="357"/>
      <c r="E82" s="34" t="s">
        <v>1</v>
      </c>
      <c r="F82" s="39" t="str">
        <f>'Rest Runsheet Food'!Z31</f>
        <v>N/A</v>
      </c>
      <c r="G82" s="39">
        <f>'Rest Runsheet Food'!AA31</f>
        <v>0</v>
      </c>
      <c r="H82" s="4"/>
      <c r="I82" s="21"/>
    </row>
    <row r="83" spans="3:9" x14ac:dyDescent="0.3">
      <c r="C83" s="218"/>
      <c r="D83" s="141"/>
      <c r="E83" s="30"/>
      <c r="F83" s="4"/>
      <c r="G83" s="4"/>
      <c r="H83" s="4"/>
      <c r="I83" s="21"/>
    </row>
    <row r="84" spans="3:9" x14ac:dyDescent="0.3">
      <c r="C84" s="218"/>
      <c r="D84" s="19"/>
      <c r="E84" s="4"/>
      <c r="F84" s="141" t="s">
        <v>76</v>
      </c>
      <c r="G84" s="38" t="s">
        <v>77</v>
      </c>
      <c r="H84" s="4"/>
      <c r="I84" s="21"/>
    </row>
    <row r="85" spans="3:9" x14ac:dyDescent="0.3">
      <c r="C85" s="218"/>
      <c r="D85" s="358" t="s">
        <v>128</v>
      </c>
      <c r="E85" s="33" t="s">
        <v>11</v>
      </c>
      <c r="F85" s="39" t="str">
        <f>'Rest Runsheet Food'!Z38</f>
        <v>Continental</v>
      </c>
      <c r="G85" s="39">
        <f>'Rest Runsheet Food'!AA38</f>
        <v>0</v>
      </c>
      <c r="H85" s="4"/>
      <c r="I85" s="21"/>
    </row>
    <row r="86" spans="3:9" x14ac:dyDescent="0.3">
      <c r="C86" s="218"/>
      <c r="D86" s="347"/>
      <c r="E86" s="30" t="s">
        <v>9</v>
      </c>
      <c r="F86" s="39" t="str">
        <f>'Rest Runsheet Food'!Z39</f>
        <v>N/A</v>
      </c>
      <c r="G86" s="39">
        <f>'Rest Runsheet Food'!AA39</f>
        <v>0</v>
      </c>
      <c r="H86" s="4"/>
      <c r="I86" s="21"/>
    </row>
    <row r="87" spans="3:9" x14ac:dyDescent="0.3">
      <c r="C87" s="218"/>
      <c r="D87" s="348"/>
      <c r="E87" s="34" t="s">
        <v>1</v>
      </c>
      <c r="F87" s="39" t="str">
        <f>'Rest Runsheet Food'!Z40</f>
        <v>N/A</v>
      </c>
      <c r="G87" s="39">
        <f>'Rest Runsheet Food'!AA40</f>
        <v>0</v>
      </c>
      <c r="H87" s="4"/>
      <c r="I87" s="21"/>
    </row>
    <row r="88" spans="3:9" x14ac:dyDescent="0.3">
      <c r="C88" s="218"/>
      <c r="D88" s="141"/>
      <c r="E88" s="30"/>
      <c r="F88" s="4"/>
      <c r="G88" s="4"/>
      <c r="H88" s="4"/>
      <c r="I88" s="21"/>
    </row>
    <row r="89" spans="3:9" x14ac:dyDescent="0.3">
      <c r="C89" s="218"/>
      <c r="D89" s="19"/>
      <c r="E89" s="4"/>
      <c r="F89" s="141" t="s">
        <v>76</v>
      </c>
      <c r="G89" s="38" t="s">
        <v>77</v>
      </c>
      <c r="H89" s="4"/>
      <c r="I89" s="21"/>
    </row>
    <row r="90" spans="3:9" x14ac:dyDescent="0.3">
      <c r="C90" s="218"/>
      <c r="D90" s="335" t="s">
        <v>135</v>
      </c>
      <c r="E90" s="33" t="s">
        <v>11</v>
      </c>
      <c r="F90" s="39" t="str">
        <f>'Rest Runsheet Food'!Z57</f>
        <v>Continental</v>
      </c>
      <c r="G90" s="39">
        <f>'Rest Runsheet Food'!AA57</f>
        <v>0</v>
      </c>
      <c r="H90" s="4"/>
      <c r="I90" s="21"/>
    </row>
    <row r="91" spans="3:9" x14ac:dyDescent="0.3">
      <c r="C91" s="218"/>
      <c r="D91" s="336"/>
      <c r="E91" s="30" t="s">
        <v>9</v>
      </c>
      <c r="F91" s="39" t="str">
        <f>'Rest Runsheet Food'!Z58</f>
        <v>N/A</v>
      </c>
      <c r="G91" s="39">
        <f>'Rest Runsheet Food'!AA58</f>
        <v>0</v>
      </c>
      <c r="H91" s="4"/>
      <c r="I91" s="21"/>
    </row>
    <row r="92" spans="3:9" x14ac:dyDescent="0.3">
      <c r="C92" s="218"/>
      <c r="D92" s="337"/>
      <c r="E92" s="34" t="s">
        <v>1</v>
      </c>
      <c r="F92" s="39" t="str">
        <f>'Rest Runsheet Food'!Z59</f>
        <v>N/A</v>
      </c>
      <c r="G92" s="39">
        <f>'Rest Runsheet Food'!AA59</f>
        <v>0</v>
      </c>
      <c r="H92" s="4"/>
      <c r="I92" s="21"/>
    </row>
    <row r="93" spans="3:9" x14ac:dyDescent="0.3">
      <c r="C93" s="218"/>
      <c r="D93" s="19"/>
      <c r="E93" s="4"/>
      <c r="F93" s="4"/>
      <c r="G93" s="4"/>
      <c r="H93" s="4"/>
      <c r="I93" s="21"/>
    </row>
    <row r="94" spans="3:9" ht="16.2" thickBot="1" x14ac:dyDescent="0.35">
      <c r="C94" s="218"/>
      <c r="D94" s="133"/>
      <c r="E94" s="22"/>
      <c r="F94" s="22"/>
      <c r="G94" s="22"/>
      <c r="H94" s="22"/>
      <c r="I94" s="23"/>
    </row>
    <row r="95" spans="3:9" x14ac:dyDescent="0.3">
      <c r="C95" s="218"/>
    </row>
    <row r="96" spans="3:9" x14ac:dyDescent="0.3">
      <c r="C96" s="218"/>
    </row>
    <row r="97" spans="3:3" x14ac:dyDescent="0.3">
      <c r="C97" s="218"/>
    </row>
    <row r="98" spans="3:3" x14ac:dyDescent="0.3">
      <c r="C98" s="218"/>
    </row>
    <row r="99" spans="3:3" x14ac:dyDescent="0.3">
      <c r="C99" s="218"/>
    </row>
    <row r="100" spans="3:3" x14ac:dyDescent="0.3">
      <c r="C100" s="218"/>
    </row>
    <row r="101" spans="3:3" x14ac:dyDescent="0.3">
      <c r="C101" s="218"/>
    </row>
    <row r="102" spans="3:3" x14ac:dyDescent="0.3">
      <c r="C102" s="218"/>
    </row>
    <row r="103" spans="3:3" x14ac:dyDescent="0.3">
      <c r="C103" s="218"/>
    </row>
    <row r="104" spans="3:3" x14ac:dyDescent="0.3">
      <c r="C104" s="218"/>
    </row>
    <row r="105" spans="3:3" x14ac:dyDescent="0.3">
      <c r="C105" s="218"/>
    </row>
    <row r="106" spans="3:3" x14ac:dyDescent="0.3">
      <c r="C106" s="218"/>
    </row>
    <row r="107" spans="3:3" x14ac:dyDescent="0.3">
      <c r="C107" s="218"/>
    </row>
    <row r="108" spans="3:3" x14ac:dyDescent="0.3">
      <c r="C108" s="218"/>
    </row>
    <row r="109" spans="3:3" x14ac:dyDescent="0.3">
      <c r="C109" s="218"/>
    </row>
    <row r="110" spans="3:3" x14ac:dyDescent="0.3">
      <c r="C110" s="218"/>
    </row>
    <row r="111" spans="3:3" x14ac:dyDescent="0.3">
      <c r="C111" s="218"/>
    </row>
    <row r="112" spans="3:3" x14ac:dyDescent="0.3">
      <c r="C112" s="218"/>
    </row>
    <row r="113" spans="3:3" x14ac:dyDescent="0.3">
      <c r="C113" s="218"/>
    </row>
    <row r="114" spans="3:3" x14ac:dyDescent="0.3">
      <c r="C114" s="218"/>
    </row>
    <row r="115" spans="3:3" x14ac:dyDescent="0.3">
      <c r="C115" s="218"/>
    </row>
    <row r="116" spans="3:3" x14ac:dyDescent="0.3">
      <c r="C116" s="218"/>
    </row>
    <row r="117" spans="3:3" x14ac:dyDescent="0.3">
      <c r="C117" s="218"/>
    </row>
    <row r="118" spans="3:3" x14ac:dyDescent="0.3">
      <c r="C118" s="218"/>
    </row>
    <row r="119" spans="3:3" x14ac:dyDescent="0.3">
      <c r="C119" s="218"/>
    </row>
    <row r="120" spans="3:3" x14ac:dyDescent="0.3">
      <c r="C120" s="218"/>
    </row>
    <row r="121" spans="3:3" x14ac:dyDescent="0.3">
      <c r="C121" s="218"/>
    </row>
    <row r="122" spans="3:3" x14ac:dyDescent="0.3">
      <c r="C122" s="218"/>
    </row>
    <row r="123" spans="3:3" x14ac:dyDescent="0.3">
      <c r="C123" s="218"/>
    </row>
    <row r="124" spans="3:3" x14ac:dyDescent="0.3">
      <c r="C124" s="218"/>
    </row>
    <row r="125" spans="3:3" x14ac:dyDescent="0.3">
      <c r="C125" s="218"/>
    </row>
    <row r="126" spans="3:3" x14ac:dyDescent="0.3">
      <c r="C126" s="218"/>
    </row>
    <row r="127" spans="3:3" x14ac:dyDescent="0.3">
      <c r="C127" s="218"/>
    </row>
    <row r="128" spans="3:3" x14ac:dyDescent="0.3">
      <c r="C128" s="218"/>
    </row>
    <row r="129" spans="3:3" x14ac:dyDescent="0.3">
      <c r="C129" s="218"/>
    </row>
    <row r="130" spans="3:3" x14ac:dyDescent="0.3">
      <c r="C130" s="218"/>
    </row>
    <row r="131" spans="3:3" x14ac:dyDescent="0.3">
      <c r="C131" s="218"/>
    </row>
    <row r="132" spans="3:3" x14ac:dyDescent="0.3">
      <c r="C132" s="218"/>
    </row>
    <row r="133" spans="3:3" x14ac:dyDescent="0.3">
      <c r="C133" s="218"/>
    </row>
    <row r="134" spans="3:3" x14ac:dyDescent="0.3">
      <c r="C134" s="218"/>
    </row>
    <row r="135" spans="3:3" x14ac:dyDescent="0.3">
      <c r="C135" s="218"/>
    </row>
    <row r="136" spans="3:3" x14ac:dyDescent="0.3">
      <c r="C136" s="218"/>
    </row>
    <row r="137" spans="3:3" x14ac:dyDescent="0.3">
      <c r="C137" s="218"/>
    </row>
    <row r="138" spans="3:3" x14ac:dyDescent="0.3">
      <c r="C138" s="218"/>
    </row>
    <row r="139" spans="3:3" x14ac:dyDescent="0.3">
      <c r="C139" s="218"/>
    </row>
    <row r="140" spans="3:3" x14ac:dyDescent="0.3">
      <c r="C140" s="218"/>
    </row>
    <row r="141" spans="3:3" x14ac:dyDescent="0.3">
      <c r="C141" s="218"/>
    </row>
    <row r="142" spans="3:3" x14ac:dyDescent="0.3">
      <c r="C142" s="218"/>
    </row>
    <row r="143" spans="3:3" x14ac:dyDescent="0.3">
      <c r="C143" s="218"/>
    </row>
    <row r="144" spans="3:3" x14ac:dyDescent="0.3">
      <c r="C144" s="218"/>
    </row>
    <row r="145" spans="3:3" x14ac:dyDescent="0.3">
      <c r="C145" s="218"/>
    </row>
    <row r="146" spans="3:3" x14ac:dyDescent="0.3">
      <c r="C146" s="218"/>
    </row>
    <row r="147" spans="3:3" x14ac:dyDescent="0.3">
      <c r="C147" s="218"/>
    </row>
    <row r="148" spans="3:3" x14ac:dyDescent="0.3">
      <c r="C148" s="218"/>
    </row>
    <row r="149" spans="3:3" x14ac:dyDescent="0.3">
      <c r="C149" s="218"/>
    </row>
    <row r="150" spans="3:3" x14ac:dyDescent="0.3">
      <c r="C150" s="218"/>
    </row>
    <row r="151" spans="3:3" x14ac:dyDescent="0.3">
      <c r="C151" s="218"/>
    </row>
    <row r="152" spans="3:3" x14ac:dyDescent="0.3">
      <c r="C152" s="218"/>
    </row>
    <row r="153" spans="3:3" x14ac:dyDescent="0.3">
      <c r="C153" s="218"/>
    </row>
    <row r="154" spans="3:3" x14ac:dyDescent="0.3">
      <c r="C154" s="218"/>
    </row>
    <row r="155" spans="3:3" x14ac:dyDescent="0.3">
      <c r="C155" s="218"/>
    </row>
    <row r="156" spans="3:3" x14ac:dyDescent="0.3">
      <c r="C156" s="218"/>
    </row>
    <row r="157" spans="3:3" x14ac:dyDescent="0.3">
      <c r="C157" s="218"/>
    </row>
    <row r="158" spans="3:3" x14ac:dyDescent="0.3">
      <c r="C158" s="218"/>
    </row>
    <row r="159" spans="3:3" x14ac:dyDescent="0.3">
      <c r="C159" s="218"/>
    </row>
    <row r="160" spans="3:3" x14ac:dyDescent="0.3">
      <c r="C160" s="218"/>
    </row>
    <row r="161" spans="3:3" x14ac:dyDescent="0.3">
      <c r="C161" s="218"/>
    </row>
    <row r="162" spans="3:3" x14ac:dyDescent="0.3">
      <c r="C162" s="218"/>
    </row>
    <row r="163" spans="3:3" x14ac:dyDescent="0.3">
      <c r="C163" s="218"/>
    </row>
    <row r="164" spans="3:3" x14ac:dyDescent="0.3">
      <c r="C164" s="218"/>
    </row>
    <row r="165" spans="3:3" x14ac:dyDescent="0.3">
      <c r="C165" s="218"/>
    </row>
    <row r="166" spans="3:3" x14ac:dyDescent="0.3">
      <c r="C166" s="218"/>
    </row>
    <row r="167" spans="3:3" x14ac:dyDescent="0.3">
      <c r="C167" s="218"/>
    </row>
    <row r="168" spans="3:3" x14ac:dyDescent="0.3">
      <c r="C168" s="218"/>
    </row>
    <row r="169" spans="3:3" x14ac:dyDescent="0.3">
      <c r="C169" s="218"/>
    </row>
    <row r="170" spans="3:3" x14ac:dyDescent="0.3">
      <c r="C170" s="218"/>
    </row>
    <row r="171" spans="3:3" x14ac:dyDescent="0.3">
      <c r="C171" s="218"/>
    </row>
    <row r="172" spans="3:3" x14ac:dyDescent="0.3">
      <c r="C172" s="218"/>
    </row>
    <row r="173" spans="3:3" x14ac:dyDescent="0.3">
      <c r="C173" s="218"/>
    </row>
    <row r="174" spans="3:3" x14ac:dyDescent="0.3">
      <c r="C174" s="218"/>
    </row>
    <row r="175" spans="3:3" x14ac:dyDescent="0.3">
      <c r="C175" s="218"/>
    </row>
    <row r="176" spans="3:3" x14ac:dyDescent="0.3">
      <c r="C176" s="218"/>
    </row>
    <row r="177" spans="3:3" x14ac:dyDescent="0.3">
      <c r="C177" s="218"/>
    </row>
    <row r="178" spans="3:3" x14ac:dyDescent="0.3">
      <c r="C178" s="218"/>
    </row>
    <row r="179" spans="3:3" x14ac:dyDescent="0.3">
      <c r="C179" s="218"/>
    </row>
    <row r="180" spans="3:3" x14ac:dyDescent="0.3">
      <c r="C180" s="218"/>
    </row>
    <row r="181" spans="3:3" x14ac:dyDescent="0.3">
      <c r="C181" s="218"/>
    </row>
    <row r="182" spans="3:3" x14ac:dyDescent="0.3">
      <c r="C182" s="218"/>
    </row>
    <row r="183" spans="3:3" x14ac:dyDescent="0.3">
      <c r="C183" s="218"/>
    </row>
    <row r="184" spans="3:3" x14ac:dyDescent="0.3">
      <c r="C184" s="218"/>
    </row>
    <row r="185" spans="3:3" x14ac:dyDescent="0.3">
      <c r="C185" s="218"/>
    </row>
    <row r="186" spans="3:3" x14ac:dyDescent="0.3">
      <c r="C186" s="218"/>
    </row>
    <row r="187" spans="3:3" x14ac:dyDescent="0.3">
      <c r="C187" s="218"/>
    </row>
    <row r="188" spans="3:3" x14ac:dyDescent="0.3">
      <c r="C188" s="218"/>
    </row>
    <row r="189" spans="3:3" x14ac:dyDescent="0.3">
      <c r="C189" s="218"/>
    </row>
    <row r="190" spans="3:3" x14ac:dyDescent="0.3">
      <c r="C190" s="218"/>
    </row>
    <row r="191" spans="3:3" x14ac:dyDescent="0.3">
      <c r="C191" s="218"/>
    </row>
    <row r="192" spans="3:3" x14ac:dyDescent="0.3">
      <c r="C192" s="218"/>
    </row>
    <row r="193" spans="3:3" x14ac:dyDescent="0.3">
      <c r="C193" s="218"/>
    </row>
    <row r="194" spans="3:3" x14ac:dyDescent="0.3">
      <c r="C194" s="218"/>
    </row>
    <row r="195" spans="3:3" x14ac:dyDescent="0.3">
      <c r="C195" s="218"/>
    </row>
    <row r="196" spans="3:3" x14ac:dyDescent="0.3">
      <c r="C196" s="218"/>
    </row>
    <row r="197" spans="3:3" x14ac:dyDescent="0.3">
      <c r="C197" s="218"/>
    </row>
    <row r="198" spans="3:3" x14ac:dyDescent="0.3">
      <c r="C198" s="218"/>
    </row>
    <row r="199" spans="3:3" x14ac:dyDescent="0.3">
      <c r="C199" s="218"/>
    </row>
    <row r="200" spans="3:3" x14ac:dyDescent="0.3">
      <c r="C200" s="218"/>
    </row>
    <row r="201" spans="3:3" x14ac:dyDescent="0.3">
      <c r="C201" s="218"/>
    </row>
    <row r="202" spans="3:3" x14ac:dyDescent="0.3">
      <c r="C202" s="218"/>
    </row>
    <row r="203" spans="3:3" x14ac:dyDescent="0.3">
      <c r="C203" s="218"/>
    </row>
    <row r="204" spans="3:3" x14ac:dyDescent="0.3">
      <c r="C204" s="218"/>
    </row>
    <row r="205" spans="3:3" x14ac:dyDescent="0.3">
      <c r="C205" s="218"/>
    </row>
    <row r="206" spans="3:3" x14ac:dyDescent="0.3">
      <c r="C206" s="218"/>
    </row>
    <row r="207" spans="3:3" x14ac:dyDescent="0.3">
      <c r="C207" s="218"/>
    </row>
    <row r="208" spans="3:3" x14ac:dyDescent="0.3">
      <c r="C208" s="218"/>
    </row>
    <row r="209" spans="3:3" x14ac:dyDescent="0.3">
      <c r="C209" s="218"/>
    </row>
    <row r="210" spans="3:3" x14ac:dyDescent="0.3">
      <c r="C210" s="218"/>
    </row>
    <row r="211" spans="3:3" x14ac:dyDescent="0.3">
      <c r="C211" s="218"/>
    </row>
    <row r="212" spans="3:3" x14ac:dyDescent="0.3">
      <c r="C212" s="218"/>
    </row>
    <row r="213" spans="3:3" x14ac:dyDescent="0.3">
      <c r="C213" s="218"/>
    </row>
    <row r="214" spans="3:3" x14ac:dyDescent="0.3">
      <c r="C214" s="218"/>
    </row>
    <row r="215" spans="3:3" x14ac:dyDescent="0.3">
      <c r="C215" s="218"/>
    </row>
    <row r="216" spans="3:3" x14ac:dyDescent="0.3">
      <c r="C216" s="218"/>
    </row>
    <row r="217" spans="3:3" x14ac:dyDescent="0.3">
      <c r="C217" s="218"/>
    </row>
    <row r="218" spans="3:3" x14ac:dyDescent="0.3">
      <c r="C218" s="218"/>
    </row>
    <row r="219" spans="3:3" x14ac:dyDescent="0.3">
      <c r="C219" s="218"/>
    </row>
    <row r="220" spans="3:3" x14ac:dyDescent="0.3">
      <c r="C220" s="218"/>
    </row>
    <row r="221" spans="3:3" x14ac:dyDescent="0.3">
      <c r="C221" s="218"/>
    </row>
    <row r="222" spans="3:3" x14ac:dyDescent="0.3">
      <c r="C222" s="218"/>
    </row>
    <row r="223" spans="3:3" x14ac:dyDescent="0.3">
      <c r="C223" s="218"/>
    </row>
    <row r="224" spans="3:3" x14ac:dyDescent="0.3">
      <c r="C224" s="218"/>
    </row>
    <row r="225" spans="3:3" x14ac:dyDescent="0.3">
      <c r="C225" s="218"/>
    </row>
    <row r="226" spans="3:3" x14ac:dyDescent="0.3">
      <c r="C226" s="218"/>
    </row>
    <row r="227" spans="3:3" x14ac:dyDescent="0.3">
      <c r="C227" s="218"/>
    </row>
    <row r="228" spans="3:3" x14ac:dyDescent="0.3">
      <c r="C228" s="218"/>
    </row>
    <row r="229" spans="3:3" x14ac:dyDescent="0.3">
      <c r="C229" s="218"/>
    </row>
    <row r="230" spans="3:3" x14ac:dyDescent="0.3">
      <c r="C230" s="218"/>
    </row>
    <row r="231" spans="3:3" x14ac:dyDescent="0.3">
      <c r="C231" s="218"/>
    </row>
    <row r="232" spans="3:3" x14ac:dyDescent="0.3">
      <c r="C232" s="218"/>
    </row>
    <row r="233" spans="3:3" x14ac:dyDescent="0.3">
      <c r="C233" s="218"/>
    </row>
    <row r="234" spans="3:3" x14ac:dyDescent="0.3">
      <c r="C234" s="218"/>
    </row>
    <row r="235" spans="3:3" x14ac:dyDescent="0.3">
      <c r="C235" s="218"/>
    </row>
    <row r="236" spans="3:3" x14ac:dyDescent="0.3">
      <c r="C236" s="218"/>
    </row>
    <row r="237" spans="3:3" x14ac:dyDescent="0.3">
      <c r="C237" s="218"/>
    </row>
    <row r="238" spans="3:3" x14ac:dyDescent="0.3">
      <c r="C238" s="218"/>
    </row>
    <row r="239" spans="3:3" x14ac:dyDescent="0.3">
      <c r="C239" s="218"/>
    </row>
    <row r="240" spans="3:3" x14ac:dyDescent="0.3">
      <c r="C240" s="218"/>
    </row>
    <row r="241" spans="3:3" x14ac:dyDescent="0.3">
      <c r="C241" s="218"/>
    </row>
    <row r="242" spans="3:3" x14ac:dyDescent="0.3">
      <c r="C242" s="218"/>
    </row>
    <row r="243" spans="3:3" x14ac:dyDescent="0.3">
      <c r="C243" s="218"/>
    </row>
    <row r="244" spans="3:3" x14ac:dyDescent="0.3">
      <c r="C244" s="218"/>
    </row>
    <row r="245" spans="3:3" x14ac:dyDescent="0.3">
      <c r="C245" s="218"/>
    </row>
    <row r="246" spans="3:3" x14ac:dyDescent="0.3">
      <c r="C246" s="218"/>
    </row>
    <row r="247" spans="3:3" x14ac:dyDescent="0.3">
      <c r="C247" s="218"/>
    </row>
    <row r="248" spans="3:3" x14ac:dyDescent="0.3">
      <c r="C248" s="218"/>
    </row>
    <row r="249" spans="3:3" x14ac:dyDescent="0.3">
      <c r="C249" s="218"/>
    </row>
    <row r="250" spans="3:3" x14ac:dyDescent="0.3">
      <c r="C250" s="218"/>
    </row>
    <row r="251" spans="3:3" x14ac:dyDescent="0.3">
      <c r="C251" s="218"/>
    </row>
    <row r="252" spans="3:3" x14ac:dyDescent="0.3">
      <c r="C252" s="218"/>
    </row>
    <row r="253" spans="3:3" x14ac:dyDescent="0.3">
      <c r="C253" s="218"/>
    </row>
    <row r="254" spans="3:3" x14ac:dyDescent="0.3">
      <c r="C254" s="218"/>
    </row>
    <row r="255" spans="3:3" x14ac:dyDescent="0.3">
      <c r="C255" s="218"/>
    </row>
    <row r="256" spans="3:3" x14ac:dyDescent="0.3">
      <c r="C256" s="218"/>
    </row>
    <row r="257" spans="3:3" x14ac:dyDescent="0.3">
      <c r="C257" s="218"/>
    </row>
    <row r="258" spans="3:3" x14ac:dyDescent="0.3">
      <c r="C258" s="218"/>
    </row>
    <row r="259" spans="3:3" x14ac:dyDescent="0.3">
      <c r="C259" s="218"/>
    </row>
  </sheetData>
  <mergeCells count="49">
    <mergeCell ref="E1:G1"/>
    <mergeCell ref="E2:G2"/>
    <mergeCell ref="D4:I4"/>
    <mergeCell ref="D19:I19"/>
    <mergeCell ref="D27:I27"/>
    <mergeCell ref="D64:I64"/>
    <mergeCell ref="D45:D46"/>
    <mergeCell ref="E45:I46"/>
    <mergeCell ref="D47:D48"/>
    <mergeCell ref="E47:I48"/>
    <mergeCell ref="D49:D50"/>
    <mergeCell ref="E49:I50"/>
    <mergeCell ref="D60:I60"/>
    <mergeCell ref="D61:I61"/>
    <mergeCell ref="D52:I52"/>
    <mergeCell ref="D53:I54"/>
    <mergeCell ref="D55:I56"/>
    <mergeCell ref="D57:I57"/>
    <mergeCell ref="B2:B3"/>
    <mergeCell ref="B5:B6"/>
    <mergeCell ref="B8:B9"/>
    <mergeCell ref="B11:B12"/>
    <mergeCell ref="B14:B15"/>
    <mergeCell ref="D29:D30"/>
    <mergeCell ref="D43:I43"/>
    <mergeCell ref="B44:B45"/>
    <mergeCell ref="B47:B48"/>
    <mergeCell ref="B50:B51"/>
    <mergeCell ref="D41:D42"/>
    <mergeCell ref="B32:B33"/>
    <mergeCell ref="B35:B36"/>
    <mergeCell ref="B38:B39"/>
    <mergeCell ref="B41:B42"/>
    <mergeCell ref="D31:D32"/>
    <mergeCell ref="D33:D34"/>
    <mergeCell ref="D35:D36"/>
    <mergeCell ref="D37:D38"/>
    <mergeCell ref="D39:D40"/>
    <mergeCell ref="D75:D77"/>
    <mergeCell ref="D80:D82"/>
    <mergeCell ref="D85:D87"/>
    <mergeCell ref="D90:D92"/>
    <mergeCell ref="D65:D67"/>
    <mergeCell ref="D70:D72"/>
    <mergeCell ref="B17:B18"/>
    <mergeCell ref="B20:B21"/>
    <mergeCell ref="B23:B24"/>
    <mergeCell ref="B26:B27"/>
    <mergeCell ref="B29:B30"/>
  </mergeCells>
  <hyperlinks>
    <hyperlink ref="B2" location="Panel!C4" display="HOME" xr:uid="{2EDDD93E-B422-4B85-AB73-16B071879834}"/>
    <hyperlink ref="B5" location="Panel!C4" display="HOME" xr:uid="{FB6840EB-E520-48E5-ADD4-42C9922E18D8}"/>
    <hyperlink ref="B17" location="Panel!C4" display="HOME" xr:uid="{B693CFDD-629D-4F2E-BF54-03BE53CED466}"/>
    <hyperlink ref="B20" location="Panel!C4" display="HOME" xr:uid="{CB879FFB-F6FA-4F99-9D56-B782F4A24C99}"/>
    <hyperlink ref="B23" location="Panel!C4" display="HOME" xr:uid="{D094C601-E7F0-459D-BAA2-432ACAC33E8A}"/>
    <hyperlink ref="B5:B6" location="data_formula_legend!A1" display="DATA" xr:uid="{20B827D2-1555-4686-B896-29670D470286}"/>
    <hyperlink ref="B17:B18" location="day_1!A1" display="DAY 1" xr:uid="{D3A18DE0-F73C-4632-BB0B-5269C81744E1}"/>
    <hyperlink ref="B8" location="Panel!C4" display="HOME" xr:uid="{6AF3EFC8-4E08-431C-B05A-1C411F261FE8}"/>
    <hyperlink ref="B8:B9" location="Runsheet!A1" display="RUNSHEET" xr:uid="{8DC06565-CF44-4CE8-B955-98144936E697}"/>
    <hyperlink ref="B20:B21" location="day_2!A1" display="DAY 2" xr:uid="{7F9586B5-5DF7-49C0-81C6-39E69133000E}"/>
    <hyperlink ref="B23:B24" location="day_3!A1" display="DAY 3" xr:uid="{0B003B79-398E-4D6D-8289-CD6E6DA590EE}"/>
    <hyperlink ref="B2:B3" location="HOME!A1" display="HOME" xr:uid="{461F0C3F-E13F-489B-A5B5-25C45383B672}"/>
    <hyperlink ref="B26" location="Panel!C4" display="HOME" xr:uid="{B155AF25-9276-45C7-BA41-10F6166125F5}"/>
    <hyperlink ref="B26:B27" location="day_5!A1" display="DAY 4" xr:uid="{1E4131A8-EEB9-4C13-8C3F-8A8F211B545C}"/>
    <hyperlink ref="B29" location="Panel!C4" display="HOME" xr:uid="{0237C6BB-B357-44B7-B66C-561CF4339D6C}"/>
    <hyperlink ref="B29:B30" location="day_5!A1" display="DAY 5" xr:uid="{C4799FE9-88D6-4A1A-876F-7D088FB4E409}"/>
    <hyperlink ref="B32" location="Panel!C4" display="HOME" xr:uid="{BA1A633F-A628-441B-904F-91D3027F4CF6}"/>
    <hyperlink ref="B32:B33" location="day_6!A1" display="DAY 6" xr:uid="{AF7DB5DA-B7F0-4331-9886-8A71AA698961}"/>
    <hyperlink ref="B14:B15" location="'Food Serves'!A1" display="FOOD SERVES" xr:uid="{E038A75A-7867-4A20-BD23-7281CDC93050}"/>
    <hyperlink ref="B11:B12" location="'Rest Runsheet Food'!A1" display="RESTAURANT RUNSHEET" xr:uid="{00BCB689-D4B6-4028-8A46-B07E3D941EFD}"/>
    <hyperlink ref="B14" location="Panel!C4" display="HOME" xr:uid="{8E8C0327-8DAB-44BD-951E-15169E07BF84}"/>
    <hyperlink ref="B11" location="Panel!C4" display="HOME" xr:uid="{CE38C388-E288-4F82-9B0A-C9A997500EA6}"/>
    <hyperlink ref="B35" location="Panel!C4" display="HOME" xr:uid="{E8EA3032-3686-4E5A-82D0-715EB11B9E81}"/>
    <hyperlink ref="B35:B36" location="day_7!A1" display="DAY 7" xr:uid="{0A1E9FEB-A304-48EA-856D-9CC62F39A827}"/>
    <hyperlink ref="B38" location="Panel!C4" display="HOME" xr:uid="{C6C8DD1F-62D3-41FB-9ACB-C26CA7A2CF6A}"/>
    <hyperlink ref="B38:B39" location="day_8!A1" display="DAY 8" xr:uid="{7FFC6B89-6583-4AC8-9B7D-74792F624F26}"/>
    <hyperlink ref="B41" location="Panel!C4" display="HOME" xr:uid="{16AEDA8E-1EF8-4617-914F-1BED61EA0D2C}"/>
    <hyperlink ref="B41:B42" location="day_9!A1" display="DAY 9" xr:uid="{87B9FF76-5236-4AA3-85F7-CEEF57837AC1}"/>
    <hyperlink ref="B44" location="Panel!C4" display="HOME" xr:uid="{CDB94862-559A-4E33-AA2A-95C31919F232}"/>
    <hyperlink ref="B44:B45" location="day_10!A1" display="DAY 10" xr:uid="{B45606E8-DA3B-4FDB-8461-356B11DF6A34}"/>
    <hyperlink ref="B47" location="Panel!C4" display="HOME" xr:uid="{041548D7-FE48-4D3F-A8B8-4CAEE9A93589}"/>
    <hyperlink ref="B47:B48" location="day_11!A1" display="DAY 11" xr:uid="{7BEC0ADF-83DD-4B10-BF64-208A65ECC6D9}"/>
    <hyperlink ref="B50" location="Panel!C4" display="HOME" xr:uid="{BF47611D-8C94-44C7-9F46-E69430B8CBD3}"/>
    <hyperlink ref="B50:B51" location="day_12!A1" display="DAY 12" xr:uid="{264C4184-4286-4C2F-801D-344430FE9A5E}"/>
  </hyperlinks>
  <pageMargins left="0.23622047244094491" right="0.23622047244094491" top="0.15748031496062992" bottom="0.15748031496062992" header="0" footer="0"/>
  <pageSetup paperSize="9" scale="54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A1E4D-FED3-4408-8453-736F457DA8D0}">
  <sheetPr codeName="Sheet20"/>
  <dimension ref="A1:C259"/>
  <sheetViews>
    <sheetView workbookViewId="0">
      <selection activeCell="C1" sqref="A1:C1048576"/>
    </sheetView>
  </sheetViews>
  <sheetFormatPr defaultRowHeight="15.6" x14ac:dyDescent="0.3"/>
  <cols>
    <col min="1" max="1" width="1.77734375" style="216" customWidth="1"/>
    <col min="2" max="2" width="15.77734375" style="217" customWidth="1"/>
    <col min="3" max="3" width="1.77734375" style="216" customWidth="1"/>
  </cols>
  <sheetData>
    <row r="1" spans="1:3" ht="16.2" thickBot="1" x14ac:dyDescent="0.35">
      <c r="A1" s="212"/>
      <c r="B1" s="213"/>
      <c r="C1" s="212"/>
    </row>
    <row r="2" spans="1:3" ht="15" customHeight="1" thickTop="1" x14ac:dyDescent="0.3">
      <c r="A2" s="212"/>
      <c r="B2" s="318" t="s">
        <v>264</v>
      </c>
      <c r="C2" s="212"/>
    </row>
    <row r="3" spans="1:3" ht="15" customHeight="1" thickBot="1" x14ac:dyDescent="0.35">
      <c r="A3" s="212"/>
      <c r="B3" s="319"/>
      <c r="C3" s="212"/>
    </row>
    <row r="4" spans="1:3" ht="16.8" thickTop="1" thickBot="1" x14ac:dyDescent="0.35">
      <c r="A4" s="212"/>
      <c r="B4" s="213"/>
      <c r="C4" s="212"/>
    </row>
    <row r="5" spans="1:3" ht="15" customHeight="1" thickTop="1" x14ac:dyDescent="0.3">
      <c r="A5" s="212"/>
      <c r="B5" s="320" t="s">
        <v>247</v>
      </c>
      <c r="C5" s="212"/>
    </row>
    <row r="6" spans="1:3" ht="15" customHeight="1" thickBot="1" x14ac:dyDescent="0.35">
      <c r="A6" s="212"/>
      <c r="B6" s="321"/>
      <c r="C6" s="212"/>
    </row>
    <row r="7" spans="1:3" ht="16.8" thickTop="1" thickBot="1" x14ac:dyDescent="0.35">
      <c r="A7" s="214"/>
      <c r="B7" s="213"/>
      <c r="C7" s="214"/>
    </row>
    <row r="8" spans="1:3" ht="15" customHeight="1" thickTop="1" x14ac:dyDescent="0.3">
      <c r="A8" s="212"/>
      <c r="B8" s="318" t="s">
        <v>265</v>
      </c>
      <c r="C8" s="212"/>
    </row>
    <row r="9" spans="1:3" ht="15" customHeight="1" thickBot="1" x14ac:dyDescent="0.35">
      <c r="A9" s="212"/>
      <c r="B9" s="319"/>
      <c r="C9" s="215"/>
    </row>
    <row r="10" spans="1:3" ht="16.8" thickTop="1" thickBot="1" x14ac:dyDescent="0.35">
      <c r="A10" s="212"/>
      <c r="B10" s="213"/>
      <c r="C10" s="215"/>
    </row>
    <row r="11" spans="1:3" ht="15" customHeight="1" thickTop="1" x14ac:dyDescent="0.3">
      <c r="A11" s="212"/>
      <c r="B11" s="318" t="s">
        <v>511</v>
      </c>
      <c r="C11" s="215"/>
    </row>
    <row r="12" spans="1:3" ht="15" customHeight="1" thickBot="1" x14ac:dyDescent="0.35">
      <c r="A12" s="212"/>
      <c r="B12" s="319"/>
      <c r="C12" s="215"/>
    </row>
    <row r="13" spans="1:3" ht="16.8" thickTop="1" thickBot="1" x14ac:dyDescent="0.35">
      <c r="A13" s="212"/>
      <c r="B13" s="213"/>
      <c r="C13" s="215"/>
    </row>
    <row r="14" spans="1:3" ht="15" customHeight="1" thickTop="1" x14ac:dyDescent="0.3">
      <c r="A14" s="212"/>
      <c r="B14" s="318" t="s">
        <v>512</v>
      </c>
      <c r="C14" s="215"/>
    </row>
    <row r="15" spans="1:3" ht="15" customHeight="1" thickBot="1" x14ac:dyDescent="0.35">
      <c r="A15" s="212"/>
      <c r="B15" s="319"/>
      <c r="C15" s="215"/>
    </row>
    <row r="16" spans="1:3" ht="16.8" thickTop="1" thickBot="1" x14ac:dyDescent="0.35">
      <c r="A16" s="212"/>
      <c r="B16" s="213"/>
      <c r="C16" s="215"/>
    </row>
    <row r="17" spans="1:3" ht="15" customHeight="1" thickTop="1" x14ac:dyDescent="0.3">
      <c r="A17" s="212"/>
      <c r="B17" s="318" t="s">
        <v>266</v>
      </c>
      <c r="C17" s="215"/>
    </row>
    <row r="18" spans="1:3" ht="15" customHeight="1" thickBot="1" x14ac:dyDescent="0.35">
      <c r="A18" s="212"/>
      <c r="B18" s="319"/>
      <c r="C18" s="215"/>
    </row>
    <row r="19" spans="1:3" ht="16.8" thickTop="1" thickBot="1" x14ac:dyDescent="0.35">
      <c r="A19" s="212"/>
      <c r="B19" s="213"/>
      <c r="C19" s="215"/>
    </row>
    <row r="20" spans="1:3" ht="15" customHeight="1" thickTop="1" x14ac:dyDescent="0.3">
      <c r="A20" s="212"/>
      <c r="B20" s="318" t="s">
        <v>267</v>
      </c>
      <c r="C20" s="215"/>
    </row>
    <row r="21" spans="1:3" ht="15" customHeight="1" thickBot="1" x14ac:dyDescent="0.35">
      <c r="A21" s="212"/>
      <c r="B21" s="319"/>
      <c r="C21" s="215"/>
    </row>
    <row r="22" spans="1:3" ht="16.8" thickTop="1" thickBot="1" x14ac:dyDescent="0.35">
      <c r="A22" s="212"/>
      <c r="B22" s="213"/>
      <c r="C22" s="215"/>
    </row>
    <row r="23" spans="1:3" ht="15" customHeight="1" thickTop="1" x14ac:dyDescent="0.3">
      <c r="A23" s="212"/>
      <c r="B23" s="318" t="s">
        <v>268</v>
      </c>
      <c r="C23" s="215"/>
    </row>
    <row r="24" spans="1:3" ht="15" customHeight="1" thickBot="1" x14ac:dyDescent="0.35">
      <c r="A24" s="212"/>
      <c r="B24" s="319"/>
      <c r="C24" s="215"/>
    </row>
    <row r="25" spans="1:3" ht="16.8" thickTop="1" thickBot="1" x14ac:dyDescent="0.35">
      <c r="A25" s="212"/>
      <c r="B25" s="213"/>
      <c r="C25" s="215"/>
    </row>
    <row r="26" spans="1:3" ht="15" customHeight="1" thickTop="1" x14ac:dyDescent="0.3">
      <c r="A26" s="212"/>
      <c r="B26" s="318" t="s">
        <v>269</v>
      </c>
      <c r="C26" s="215"/>
    </row>
    <row r="27" spans="1:3" ht="15" customHeight="1" thickBot="1" x14ac:dyDescent="0.35">
      <c r="A27" s="212"/>
      <c r="B27" s="319"/>
      <c r="C27" s="215"/>
    </row>
    <row r="28" spans="1:3" ht="16.8" thickTop="1" thickBot="1" x14ac:dyDescent="0.35">
      <c r="A28" s="212"/>
      <c r="B28" s="213"/>
      <c r="C28" s="215"/>
    </row>
    <row r="29" spans="1:3" ht="15" customHeight="1" thickTop="1" x14ac:dyDescent="0.3">
      <c r="A29" s="212"/>
      <c r="B29" s="318" t="s">
        <v>270</v>
      </c>
      <c r="C29" s="215"/>
    </row>
    <row r="30" spans="1:3" ht="15" customHeight="1" thickBot="1" x14ac:dyDescent="0.35">
      <c r="A30" s="212"/>
      <c r="B30" s="319"/>
      <c r="C30" s="215"/>
    </row>
    <row r="31" spans="1:3" ht="16.8" thickTop="1" thickBot="1" x14ac:dyDescent="0.35">
      <c r="A31" s="212"/>
      <c r="B31" s="213"/>
      <c r="C31" s="215"/>
    </row>
    <row r="32" spans="1:3" ht="15" customHeight="1" thickTop="1" x14ac:dyDescent="0.3">
      <c r="A32" s="212"/>
      <c r="B32" s="318" t="s">
        <v>271</v>
      </c>
      <c r="C32" s="215"/>
    </row>
    <row r="33" spans="1:3" ht="15" customHeight="1" thickBot="1" x14ac:dyDescent="0.35">
      <c r="A33" s="212"/>
      <c r="B33" s="319"/>
      <c r="C33" s="215"/>
    </row>
    <row r="34" spans="1:3" ht="16.8" thickTop="1" thickBot="1" x14ac:dyDescent="0.35">
      <c r="A34" s="212"/>
      <c r="B34" s="213"/>
      <c r="C34" s="215"/>
    </row>
    <row r="35" spans="1:3" ht="15" customHeight="1" thickTop="1" x14ac:dyDescent="0.3">
      <c r="A35" s="212"/>
      <c r="B35" s="318" t="s">
        <v>272</v>
      </c>
      <c r="C35" s="215"/>
    </row>
    <row r="36" spans="1:3" ht="15" customHeight="1" thickBot="1" x14ac:dyDescent="0.35">
      <c r="A36" s="212"/>
      <c r="B36" s="319"/>
      <c r="C36" s="215"/>
    </row>
    <row r="37" spans="1:3" ht="16.8" thickTop="1" thickBot="1" x14ac:dyDescent="0.35">
      <c r="A37" s="212"/>
      <c r="B37" s="213"/>
      <c r="C37" s="215"/>
    </row>
    <row r="38" spans="1:3" ht="15" customHeight="1" thickTop="1" x14ac:dyDescent="0.3">
      <c r="A38" s="212"/>
      <c r="B38" s="318" t="s">
        <v>273</v>
      </c>
      <c r="C38" s="215"/>
    </row>
    <row r="39" spans="1:3" ht="15" customHeight="1" thickBot="1" x14ac:dyDescent="0.35">
      <c r="A39" s="212"/>
      <c r="B39" s="319"/>
      <c r="C39" s="215"/>
    </row>
    <row r="40" spans="1:3" ht="16.8" thickTop="1" thickBot="1" x14ac:dyDescent="0.35">
      <c r="A40" s="212"/>
      <c r="B40" s="213"/>
      <c r="C40" s="215"/>
    </row>
    <row r="41" spans="1:3" ht="15" customHeight="1" thickTop="1" x14ac:dyDescent="0.3">
      <c r="A41" s="212"/>
      <c r="B41" s="318" t="s">
        <v>274</v>
      </c>
      <c r="C41" s="215"/>
    </row>
    <row r="42" spans="1:3" ht="15" customHeight="1" thickBot="1" x14ac:dyDescent="0.35">
      <c r="A42" s="212"/>
      <c r="B42" s="319"/>
      <c r="C42" s="215"/>
    </row>
    <row r="43" spans="1:3" ht="16.8" thickTop="1" thickBot="1" x14ac:dyDescent="0.35">
      <c r="A43" s="212"/>
      <c r="B43" s="213"/>
      <c r="C43" s="215"/>
    </row>
    <row r="44" spans="1:3" ht="15" customHeight="1" thickTop="1" x14ac:dyDescent="0.3">
      <c r="A44" s="212"/>
      <c r="B44" s="318" t="s">
        <v>275</v>
      </c>
      <c r="C44" s="215"/>
    </row>
    <row r="45" spans="1:3" ht="15" customHeight="1" thickBot="1" x14ac:dyDescent="0.35">
      <c r="A45" s="212"/>
      <c r="B45" s="319"/>
      <c r="C45" s="215"/>
    </row>
    <row r="46" spans="1:3" ht="16.8" thickTop="1" thickBot="1" x14ac:dyDescent="0.35">
      <c r="A46" s="212"/>
      <c r="B46" s="213"/>
      <c r="C46" s="215"/>
    </row>
    <row r="47" spans="1:3" ht="15" customHeight="1" thickTop="1" x14ac:dyDescent="0.3">
      <c r="A47" s="212"/>
      <c r="B47" s="318" t="s">
        <v>276</v>
      </c>
      <c r="C47" s="215"/>
    </row>
    <row r="48" spans="1:3" ht="15" customHeight="1" thickBot="1" x14ac:dyDescent="0.35">
      <c r="A48" s="212"/>
      <c r="B48" s="319"/>
      <c r="C48" s="215"/>
    </row>
    <row r="49" spans="1:3" ht="16.8" thickTop="1" thickBot="1" x14ac:dyDescent="0.35">
      <c r="A49" s="212"/>
      <c r="B49" s="213"/>
      <c r="C49" s="215"/>
    </row>
    <row r="50" spans="1:3" ht="15" customHeight="1" thickTop="1" x14ac:dyDescent="0.3">
      <c r="A50" s="212"/>
      <c r="B50" s="318" t="s">
        <v>277</v>
      </c>
      <c r="C50" s="215"/>
    </row>
    <row r="51" spans="1:3" ht="15" customHeight="1" thickBot="1" x14ac:dyDescent="0.35">
      <c r="A51" s="212"/>
      <c r="B51" s="319"/>
      <c r="C51" s="215"/>
    </row>
    <row r="52" spans="1:3" ht="16.2" thickTop="1" x14ac:dyDescent="0.3">
      <c r="A52" s="212"/>
      <c r="B52" s="213"/>
      <c r="C52" s="215"/>
    </row>
    <row r="53" spans="1:3" x14ac:dyDescent="0.3">
      <c r="A53" s="212"/>
      <c r="B53" s="213"/>
      <c r="C53" s="215"/>
    </row>
    <row r="54" spans="1:3" x14ac:dyDescent="0.3">
      <c r="A54" s="212"/>
      <c r="B54" s="231"/>
      <c r="C54" s="215"/>
    </row>
    <row r="55" spans="1:3" x14ac:dyDescent="0.3">
      <c r="A55" s="212"/>
      <c r="B55" s="231"/>
      <c r="C55" s="215"/>
    </row>
    <row r="56" spans="1:3" x14ac:dyDescent="0.3">
      <c r="A56" s="212"/>
      <c r="B56" s="213"/>
      <c r="C56" s="215"/>
    </row>
    <row r="57" spans="1:3" x14ac:dyDescent="0.3">
      <c r="A57" s="212"/>
      <c r="B57" s="213"/>
      <c r="C57" s="215"/>
    </row>
    <row r="58" spans="1:3" x14ac:dyDescent="0.3">
      <c r="A58" s="212"/>
      <c r="B58" s="213"/>
      <c r="C58" s="215"/>
    </row>
    <row r="59" spans="1:3" x14ac:dyDescent="0.3">
      <c r="A59" s="212"/>
      <c r="B59" s="213"/>
      <c r="C59" s="215"/>
    </row>
    <row r="60" spans="1:3" x14ac:dyDescent="0.3">
      <c r="A60" s="212"/>
      <c r="B60" s="213"/>
      <c r="C60" s="215"/>
    </row>
    <row r="61" spans="1:3" x14ac:dyDescent="0.3">
      <c r="A61" s="212"/>
      <c r="B61" s="213"/>
      <c r="C61" s="215"/>
    </row>
    <row r="62" spans="1:3" x14ac:dyDescent="0.3">
      <c r="A62" s="212"/>
      <c r="B62" s="213"/>
      <c r="C62" s="215"/>
    </row>
    <row r="63" spans="1:3" x14ac:dyDescent="0.3">
      <c r="A63" s="212"/>
      <c r="B63" s="213"/>
      <c r="C63" s="215"/>
    </row>
    <row r="64" spans="1:3" x14ac:dyDescent="0.3">
      <c r="A64" s="212"/>
      <c r="B64" s="213"/>
      <c r="C64" s="215"/>
    </row>
    <row r="65" spans="1:3" x14ac:dyDescent="0.3">
      <c r="A65" s="212"/>
      <c r="B65" s="213"/>
      <c r="C65" s="215"/>
    </row>
    <row r="66" spans="1:3" x14ac:dyDescent="0.3">
      <c r="A66" s="212"/>
      <c r="B66" s="213"/>
      <c r="C66" s="215"/>
    </row>
    <row r="67" spans="1:3" x14ac:dyDescent="0.3">
      <c r="A67" s="212"/>
      <c r="B67" s="213"/>
      <c r="C67" s="215"/>
    </row>
    <row r="68" spans="1:3" x14ac:dyDescent="0.3">
      <c r="A68" s="212"/>
      <c r="B68" s="213"/>
      <c r="C68" s="215"/>
    </row>
    <row r="69" spans="1:3" x14ac:dyDescent="0.3">
      <c r="A69" s="212"/>
      <c r="B69" s="213"/>
      <c r="C69" s="215"/>
    </row>
    <row r="70" spans="1:3" x14ac:dyDescent="0.3">
      <c r="A70" s="212"/>
      <c r="B70" s="213"/>
      <c r="C70" s="215"/>
    </row>
    <row r="71" spans="1:3" x14ac:dyDescent="0.3">
      <c r="A71" s="212"/>
      <c r="B71" s="213"/>
      <c r="C71" s="215"/>
    </row>
    <row r="72" spans="1:3" x14ac:dyDescent="0.3">
      <c r="A72" s="212"/>
      <c r="B72" s="213"/>
      <c r="C72" s="215"/>
    </row>
    <row r="73" spans="1:3" x14ac:dyDescent="0.3">
      <c r="C73" s="218"/>
    </row>
    <row r="74" spans="1:3" x14ac:dyDescent="0.3">
      <c r="C74" s="218"/>
    </row>
    <row r="75" spans="1:3" x14ac:dyDescent="0.3">
      <c r="C75" s="218"/>
    </row>
    <row r="76" spans="1:3" x14ac:dyDescent="0.3">
      <c r="C76" s="218"/>
    </row>
    <row r="77" spans="1:3" x14ac:dyDescent="0.3">
      <c r="C77" s="218"/>
    </row>
    <row r="78" spans="1:3" x14ac:dyDescent="0.3">
      <c r="C78" s="218"/>
    </row>
    <row r="79" spans="1:3" x14ac:dyDescent="0.3">
      <c r="C79" s="218"/>
    </row>
    <row r="80" spans="1:3" x14ac:dyDescent="0.3">
      <c r="C80" s="218"/>
    </row>
    <row r="81" spans="3:3" x14ac:dyDescent="0.3">
      <c r="C81" s="218"/>
    </row>
    <row r="82" spans="3:3" x14ac:dyDescent="0.3">
      <c r="C82" s="218"/>
    </row>
    <row r="83" spans="3:3" x14ac:dyDescent="0.3">
      <c r="C83" s="218"/>
    </row>
    <row r="84" spans="3:3" x14ac:dyDescent="0.3">
      <c r="C84" s="218"/>
    </row>
    <row r="85" spans="3:3" x14ac:dyDescent="0.3">
      <c r="C85" s="218"/>
    </row>
    <row r="86" spans="3:3" x14ac:dyDescent="0.3">
      <c r="C86" s="218"/>
    </row>
    <row r="87" spans="3:3" x14ac:dyDescent="0.3">
      <c r="C87" s="218"/>
    </row>
    <row r="88" spans="3:3" x14ac:dyDescent="0.3">
      <c r="C88" s="218"/>
    </row>
    <row r="89" spans="3:3" x14ac:dyDescent="0.3">
      <c r="C89" s="218"/>
    </row>
    <row r="90" spans="3:3" x14ac:dyDescent="0.3">
      <c r="C90" s="218"/>
    </row>
    <row r="91" spans="3:3" x14ac:dyDescent="0.3">
      <c r="C91" s="218"/>
    </row>
    <row r="92" spans="3:3" x14ac:dyDescent="0.3">
      <c r="C92" s="218"/>
    </row>
    <row r="93" spans="3:3" x14ac:dyDescent="0.3">
      <c r="C93" s="218"/>
    </row>
    <row r="94" spans="3:3" x14ac:dyDescent="0.3">
      <c r="C94" s="218"/>
    </row>
    <row r="95" spans="3:3" x14ac:dyDescent="0.3">
      <c r="C95" s="218"/>
    </row>
    <row r="96" spans="3:3" x14ac:dyDescent="0.3">
      <c r="C96" s="218"/>
    </row>
    <row r="97" spans="3:3" x14ac:dyDescent="0.3">
      <c r="C97" s="218"/>
    </row>
    <row r="98" spans="3:3" x14ac:dyDescent="0.3">
      <c r="C98" s="218"/>
    </row>
    <row r="99" spans="3:3" x14ac:dyDescent="0.3">
      <c r="C99" s="218"/>
    </row>
    <row r="100" spans="3:3" x14ac:dyDescent="0.3">
      <c r="C100" s="218"/>
    </row>
    <row r="101" spans="3:3" x14ac:dyDescent="0.3">
      <c r="C101" s="218"/>
    </row>
    <row r="102" spans="3:3" x14ac:dyDescent="0.3">
      <c r="C102" s="218"/>
    </row>
    <row r="103" spans="3:3" x14ac:dyDescent="0.3">
      <c r="C103" s="218"/>
    </row>
    <row r="104" spans="3:3" x14ac:dyDescent="0.3">
      <c r="C104" s="218"/>
    </row>
    <row r="105" spans="3:3" x14ac:dyDescent="0.3">
      <c r="C105" s="218"/>
    </row>
    <row r="106" spans="3:3" x14ac:dyDescent="0.3">
      <c r="C106" s="218"/>
    </row>
    <row r="107" spans="3:3" x14ac:dyDescent="0.3">
      <c r="C107" s="218"/>
    </row>
    <row r="108" spans="3:3" x14ac:dyDescent="0.3">
      <c r="C108" s="218"/>
    </row>
    <row r="109" spans="3:3" x14ac:dyDescent="0.3">
      <c r="C109" s="218"/>
    </row>
    <row r="110" spans="3:3" x14ac:dyDescent="0.3">
      <c r="C110" s="218"/>
    </row>
    <row r="111" spans="3:3" x14ac:dyDescent="0.3">
      <c r="C111" s="218"/>
    </row>
    <row r="112" spans="3:3" x14ac:dyDescent="0.3">
      <c r="C112" s="218"/>
    </row>
    <row r="113" spans="3:3" x14ac:dyDescent="0.3">
      <c r="C113" s="218"/>
    </row>
    <row r="114" spans="3:3" x14ac:dyDescent="0.3">
      <c r="C114" s="218"/>
    </row>
    <row r="115" spans="3:3" x14ac:dyDescent="0.3">
      <c r="C115" s="218"/>
    </row>
    <row r="116" spans="3:3" x14ac:dyDescent="0.3">
      <c r="C116" s="218"/>
    </row>
    <row r="117" spans="3:3" x14ac:dyDescent="0.3">
      <c r="C117" s="218"/>
    </row>
    <row r="118" spans="3:3" x14ac:dyDescent="0.3">
      <c r="C118" s="218"/>
    </row>
    <row r="119" spans="3:3" x14ac:dyDescent="0.3">
      <c r="C119" s="218"/>
    </row>
    <row r="120" spans="3:3" x14ac:dyDescent="0.3">
      <c r="C120" s="218"/>
    </row>
    <row r="121" spans="3:3" x14ac:dyDescent="0.3">
      <c r="C121" s="218"/>
    </row>
    <row r="122" spans="3:3" x14ac:dyDescent="0.3">
      <c r="C122" s="218"/>
    </row>
    <row r="123" spans="3:3" x14ac:dyDescent="0.3">
      <c r="C123" s="218"/>
    </row>
    <row r="124" spans="3:3" x14ac:dyDescent="0.3">
      <c r="C124" s="218"/>
    </row>
    <row r="125" spans="3:3" x14ac:dyDescent="0.3">
      <c r="C125" s="218"/>
    </row>
    <row r="126" spans="3:3" x14ac:dyDescent="0.3">
      <c r="C126" s="218"/>
    </row>
    <row r="127" spans="3:3" x14ac:dyDescent="0.3">
      <c r="C127" s="218"/>
    </row>
    <row r="128" spans="3:3" x14ac:dyDescent="0.3">
      <c r="C128" s="218"/>
    </row>
    <row r="129" spans="3:3" x14ac:dyDescent="0.3">
      <c r="C129" s="218"/>
    </row>
    <row r="130" spans="3:3" x14ac:dyDescent="0.3">
      <c r="C130" s="218"/>
    </row>
    <row r="131" spans="3:3" x14ac:dyDescent="0.3">
      <c r="C131" s="218"/>
    </row>
    <row r="132" spans="3:3" x14ac:dyDescent="0.3">
      <c r="C132" s="218"/>
    </row>
    <row r="133" spans="3:3" x14ac:dyDescent="0.3">
      <c r="C133" s="218"/>
    </row>
    <row r="134" spans="3:3" x14ac:dyDescent="0.3">
      <c r="C134" s="218"/>
    </row>
    <row r="135" spans="3:3" x14ac:dyDescent="0.3">
      <c r="C135" s="218"/>
    </row>
    <row r="136" spans="3:3" x14ac:dyDescent="0.3">
      <c r="C136" s="218"/>
    </row>
    <row r="137" spans="3:3" x14ac:dyDescent="0.3">
      <c r="C137" s="218"/>
    </row>
    <row r="138" spans="3:3" x14ac:dyDescent="0.3">
      <c r="C138" s="218"/>
    </row>
    <row r="139" spans="3:3" x14ac:dyDescent="0.3">
      <c r="C139" s="218"/>
    </row>
    <row r="140" spans="3:3" x14ac:dyDescent="0.3">
      <c r="C140" s="218"/>
    </row>
    <row r="141" spans="3:3" x14ac:dyDescent="0.3">
      <c r="C141" s="218"/>
    </row>
    <row r="142" spans="3:3" x14ac:dyDescent="0.3">
      <c r="C142" s="218"/>
    </row>
    <row r="143" spans="3:3" x14ac:dyDescent="0.3">
      <c r="C143" s="218"/>
    </row>
    <row r="144" spans="3:3" x14ac:dyDescent="0.3">
      <c r="C144" s="218"/>
    </row>
    <row r="145" spans="3:3" x14ac:dyDescent="0.3">
      <c r="C145" s="218"/>
    </row>
    <row r="146" spans="3:3" x14ac:dyDescent="0.3">
      <c r="C146" s="218"/>
    </row>
    <row r="147" spans="3:3" x14ac:dyDescent="0.3">
      <c r="C147" s="218"/>
    </row>
    <row r="148" spans="3:3" x14ac:dyDescent="0.3">
      <c r="C148" s="218"/>
    </row>
    <row r="149" spans="3:3" x14ac:dyDescent="0.3">
      <c r="C149" s="218"/>
    </row>
    <row r="150" spans="3:3" x14ac:dyDescent="0.3">
      <c r="C150" s="218"/>
    </row>
    <row r="151" spans="3:3" x14ac:dyDescent="0.3">
      <c r="C151" s="218"/>
    </row>
    <row r="152" spans="3:3" x14ac:dyDescent="0.3">
      <c r="C152" s="218"/>
    </row>
    <row r="153" spans="3:3" x14ac:dyDescent="0.3">
      <c r="C153" s="218"/>
    </row>
    <row r="154" spans="3:3" x14ac:dyDescent="0.3">
      <c r="C154" s="218"/>
    </row>
    <row r="155" spans="3:3" x14ac:dyDescent="0.3">
      <c r="C155" s="218"/>
    </row>
    <row r="156" spans="3:3" x14ac:dyDescent="0.3">
      <c r="C156" s="218"/>
    </row>
    <row r="157" spans="3:3" x14ac:dyDescent="0.3">
      <c r="C157" s="218"/>
    </row>
    <row r="158" spans="3:3" x14ac:dyDescent="0.3">
      <c r="C158" s="218"/>
    </row>
    <row r="159" spans="3:3" x14ac:dyDescent="0.3">
      <c r="C159" s="218"/>
    </row>
    <row r="160" spans="3:3" x14ac:dyDescent="0.3">
      <c r="C160" s="218"/>
    </row>
    <row r="161" spans="3:3" x14ac:dyDescent="0.3">
      <c r="C161" s="218"/>
    </row>
    <row r="162" spans="3:3" x14ac:dyDescent="0.3">
      <c r="C162" s="218"/>
    </row>
    <row r="163" spans="3:3" x14ac:dyDescent="0.3">
      <c r="C163" s="218"/>
    </row>
    <row r="164" spans="3:3" x14ac:dyDescent="0.3">
      <c r="C164" s="218"/>
    </row>
    <row r="165" spans="3:3" x14ac:dyDescent="0.3">
      <c r="C165" s="218"/>
    </row>
    <row r="166" spans="3:3" x14ac:dyDescent="0.3">
      <c r="C166" s="218"/>
    </row>
    <row r="167" spans="3:3" x14ac:dyDescent="0.3">
      <c r="C167" s="218"/>
    </row>
    <row r="168" spans="3:3" x14ac:dyDescent="0.3">
      <c r="C168" s="218"/>
    </row>
    <row r="169" spans="3:3" x14ac:dyDescent="0.3">
      <c r="C169" s="218"/>
    </row>
    <row r="170" spans="3:3" x14ac:dyDescent="0.3">
      <c r="C170" s="218"/>
    </row>
    <row r="171" spans="3:3" x14ac:dyDescent="0.3">
      <c r="C171" s="218"/>
    </row>
    <row r="172" spans="3:3" x14ac:dyDescent="0.3">
      <c r="C172" s="218"/>
    </row>
    <row r="173" spans="3:3" x14ac:dyDescent="0.3">
      <c r="C173" s="218"/>
    </row>
    <row r="174" spans="3:3" x14ac:dyDescent="0.3">
      <c r="C174" s="218"/>
    </row>
    <row r="175" spans="3:3" x14ac:dyDescent="0.3">
      <c r="C175" s="218"/>
    </row>
    <row r="176" spans="3:3" x14ac:dyDescent="0.3">
      <c r="C176" s="218"/>
    </row>
    <row r="177" spans="3:3" x14ac:dyDescent="0.3">
      <c r="C177" s="218"/>
    </row>
    <row r="178" spans="3:3" x14ac:dyDescent="0.3">
      <c r="C178" s="218"/>
    </row>
    <row r="179" spans="3:3" x14ac:dyDescent="0.3">
      <c r="C179" s="218"/>
    </row>
    <row r="180" spans="3:3" x14ac:dyDescent="0.3">
      <c r="C180" s="218"/>
    </row>
    <row r="181" spans="3:3" x14ac:dyDescent="0.3">
      <c r="C181" s="218"/>
    </row>
    <row r="182" spans="3:3" x14ac:dyDescent="0.3">
      <c r="C182" s="218"/>
    </row>
    <row r="183" spans="3:3" x14ac:dyDescent="0.3">
      <c r="C183" s="218"/>
    </row>
    <row r="184" spans="3:3" x14ac:dyDescent="0.3">
      <c r="C184" s="218"/>
    </row>
    <row r="185" spans="3:3" x14ac:dyDescent="0.3">
      <c r="C185" s="218"/>
    </row>
    <row r="186" spans="3:3" x14ac:dyDescent="0.3">
      <c r="C186" s="218"/>
    </row>
    <row r="187" spans="3:3" x14ac:dyDescent="0.3">
      <c r="C187" s="218"/>
    </row>
    <row r="188" spans="3:3" x14ac:dyDescent="0.3">
      <c r="C188" s="218"/>
    </row>
    <row r="189" spans="3:3" x14ac:dyDescent="0.3">
      <c r="C189" s="218"/>
    </row>
    <row r="190" spans="3:3" x14ac:dyDescent="0.3">
      <c r="C190" s="218"/>
    </row>
    <row r="191" spans="3:3" x14ac:dyDescent="0.3">
      <c r="C191" s="218"/>
    </row>
    <row r="192" spans="3:3" x14ac:dyDescent="0.3">
      <c r="C192" s="218"/>
    </row>
    <row r="193" spans="3:3" x14ac:dyDescent="0.3">
      <c r="C193" s="218"/>
    </row>
    <row r="194" spans="3:3" x14ac:dyDescent="0.3">
      <c r="C194" s="218"/>
    </row>
    <row r="195" spans="3:3" x14ac:dyDescent="0.3">
      <c r="C195" s="218"/>
    </row>
    <row r="196" spans="3:3" x14ac:dyDescent="0.3">
      <c r="C196" s="218"/>
    </row>
    <row r="197" spans="3:3" x14ac:dyDescent="0.3">
      <c r="C197" s="218"/>
    </row>
    <row r="198" spans="3:3" x14ac:dyDescent="0.3">
      <c r="C198" s="218"/>
    </row>
    <row r="199" spans="3:3" x14ac:dyDescent="0.3">
      <c r="C199" s="218"/>
    </row>
    <row r="200" spans="3:3" x14ac:dyDescent="0.3">
      <c r="C200" s="218"/>
    </row>
    <row r="201" spans="3:3" x14ac:dyDescent="0.3">
      <c r="C201" s="218"/>
    </row>
    <row r="202" spans="3:3" x14ac:dyDescent="0.3">
      <c r="C202" s="218"/>
    </row>
    <row r="203" spans="3:3" x14ac:dyDescent="0.3">
      <c r="C203" s="218"/>
    </row>
    <row r="204" spans="3:3" x14ac:dyDescent="0.3">
      <c r="C204" s="218"/>
    </row>
    <row r="205" spans="3:3" x14ac:dyDescent="0.3">
      <c r="C205" s="218"/>
    </row>
    <row r="206" spans="3:3" x14ac:dyDescent="0.3">
      <c r="C206" s="218"/>
    </row>
    <row r="207" spans="3:3" x14ac:dyDescent="0.3">
      <c r="C207" s="218"/>
    </row>
    <row r="208" spans="3:3" x14ac:dyDescent="0.3">
      <c r="C208" s="218"/>
    </row>
    <row r="209" spans="3:3" x14ac:dyDescent="0.3">
      <c r="C209" s="218"/>
    </row>
    <row r="210" spans="3:3" x14ac:dyDescent="0.3">
      <c r="C210" s="218"/>
    </row>
    <row r="211" spans="3:3" x14ac:dyDescent="0.3">
      <c r="C211" s="218"/>
    </row>
    <row r="212" spans="3:3" x14ac:dyDescent="0.3">
      <c r="C212" s="218"/>
    </row>
    <row r="213" spans="3:3" x14ac:dyDescent="0.3">
      <c r="C213" s="218"/>
    </row>
    <row r="214" spans="3:3" x14ac:dyDescent="0.3">
      <c r="C214" s="218"/>
    </row>
    <row r="215" spans="3:3" x14ac:dyDescent="0.3">
      <c r="C215" s="218"/>
    </row>
    <row r="216" spans="3:3" x14ac:dyDescent="0.3">
      <c r="C216" s="218"/>
    </row>
    <row r="217" spans="3:3" x14ac:dyDescent="0.3">
      <c r="C217" s="218"/>
    </row>
    <row r="218" spans="3:3" x14ac:dyDescent="0.3">
      <c r="C218" s="218"/>
    </row>
    <row r="219" spans="3:3" x14ac:dyDescent="0.3">
      <c r="C219" s="218"/>
    </row>
    <row r="220" spans="3:3" x14ac:dyDescent="0.3">
      <c r="C220" s="218"/>
    </row>
    <row r="221" spans="3:3" x14ac:dyDescent="0.3">
      <c r="C221" s="218"/>
    </row>
    <row r="222" spans="3:3" x14ac:dyDescent="0.3">
      <c r="C222" s="218"/>
    </row>
    <row r="223" spans="3:3" x14ac:dyDescent="0.3">
      <c r="C223" s="218"/>
    </row>
    <row r="224" spans="3:3" x14ac:dyDescent="0.3">
      <c r="C224" s="218"/>
    </row>
    <row r="225" spans="3:3" x14ac:dyDescent="0.3">
      <c r="C225" s="218"/>
    </row>
    <row r="226" spans="3:3" x14ac:dyDescent="0.3">
      <c r="C226" s="218"/>
    </row>
    <row r="227" spans="3:3" x14ac:dyDescent="0.3">
      <c r="C227" s="218"/>
    </row>
    <row r="228" spans="3:3" x14ac:dyDescent="0.3">
      <c r="C228" s="218"/>
    </row>
    <row r="229" spans="3:3" x14ac:dyDescent="0.3">
      <c r="C229" s="218"/>
    </row>
    <row r="230" spans="3:3" x14ac:dyDescent="0.3">
      <c r="C230" s="218"/>
    </row>
    <row r="231" spans="3:3" x14ac:dyDescent="0.3">
      <c r="C231" s="218"/>
    </row>
    <row r="232" spans="3:3" x14ac:dyDescent="0.3">
      <c r="C232" s="218"/>
    </row>
    <row r="233" spans="3:3" x14ac:dyDescent="0.3">
      <c r="C233" s="218"/>
    </row>
    <row r="234" spans="3:3" x14ac:dyDescent="0.3">
      <c r="C234" s="218"/>
    </row>
    <row r="235" spans="3:3" x14ac:dyDescent="0.3">
      <c r="C235" s="218"/>
    </row>
    <row r="236" spans="3:3" x14ac:dyDescent="0.3">
      <c r="C236" s="218"/>
    </row>
    <row r="237" spans="3:3" x14ac:dyDescent="0.3">
      <c r="C237" s="218"/>
    </row>
    <row r="238" spans="3:3" x14ac:dyDescent="0.3">
      <c r="C238" s="218"/>
    </row>
    <row r="239" spans="3:3" x14ac:dyDescent="0.3">
      <c r="C239" s="218"/>
    </row>
    <row r="240" spans="3:3" x14ac:dyDescent="0.3">
      <c r="C240" s="218"/>
    </row>
    <row r="241" spans="3:3" x14ac:dyDescent="0.3">
      <c r="C241" s="218"/>
    </row>
    <row r="242" spans="3:3" x14ac:dyDescent="0.3">
      <c r="C242" s="218"/>
    </row>
    <row r="243" spans="3:3" x14ac:dyDescent="0.3">
      <c r="C243" s="218"/>
    </row>
    <row r="244" spans="3:3" x14ac:dyDescent="0.3">
      <c r="C244" s="218"/>
    </row>
    <row r="245" spans="3:3" x14ac:dyDescent="0.3">
      <c r="C245" s="218"/>
    </row>
    <row r="246" spans="3:3" x14ac:dyDescent="0.3">
      <c r="C246" s="218"/>
    </row>
    <row r="247" spans="3:3" x14ac:dyDescent="0.3">
      <c r="C247" s="218"/>
    </row>
    <row r="248" spans="3:3" x14ac:dyDescent="0.3">
      <c r="C248" s="218"/>
    </row>
    <row r="249" spans="3:3" x14ac:dyDescent="0.3">
      <c r="C249" s="218"/>
    </row>
    <row r="250" spans="3:3" x14ac:dyDescent="0.3">
      <c r="C250" s="218"/>
    </row>
    <row r="251" spans="3:3" x14ac:dyDescent="0.3">
      <c r="C251" s="218"/>
    </row>
    <row r="252" spans="3:3" x14ac:dyDescent="0.3">
      <c r="C252" s="218"/>
    </row>
    <row r="253" spans="3:3" x14ac:dyDescent="0.3">
      <c r="C253" s="218"/>
    </row>
    <row r="254" spans="3:3" x14ac:dyDescent="0.3">
      <c r="C254" s="218"/>
    </row>
    <row r="255" spans="3:3" x14ac:dyDescent="0.3">
      <c r="C255" s="218"/>
    </row>
    <row r="256" spans="3:3" x14ac:dyDescent="0.3">
      <c r="C256" s="218"/>
    </row>
    <row r="257" spans="3:3" x14ac:dyDescent="0.3">
      <c r="C257" s="218"/>
    </row>
    <row r="258" spans="3:3" x14ac:dyDescent="0.3">
      <c r="C258" s="218"/>
    </row>
    <row r="259" spans="3:3" x14ac:dyDescent="0.3">
      <c r="C259" s="218"/>
    </row>
  </sheetData>
  <mergeCells count="17">
    <mergeCell ref="B35:B36"/>
    <mergeCell ref="B2:B3"/>
    <mergeCell ref="B5:B6"/>
    <mergeCell ref="B8:B9"/>
    <mergeCell ref="B11:B12"/>
    <mergeCell ref="B14:B15"/>
    <mergeCell ref="B17:B18"/>
    <mergeCell ref="B20:B21"/>
    <mergeCell ref="B23:B24"/>
    <mergeCell ref="B26:B27"/>
    <mergeCell ref="B29:B30"/>
    <mergeCell ref="B32:B33"/>
    <mergeCell ref="B38:B39"/>
    <mergeCell ref="B41:B42"/>
    <mergeCell ref="B44:B45"/>
    <mergeCell ref="B47:B48"/>
    <mergeCell ref="B50:B51"/>
  </mergeCells>
  <hyperlinks>
    <hyperlink ref="B2" location="Panel!C4" display="HOME" xr:uid="{DBF7A1B2-1DD6-4AD1-8EA7-DA2162A9A843}"/>
    <hyperlink ref="B5" location="Panel!C4" display="HOME" xr:uid="{39CA8D23-4F05-4E16-94D4-EFF1D2D9A027}"/>
    <hyperlink ref="B17" location="Panel!C4" display="HOME" xr:uid="{557F88DD-DBE7-4640-935A-7D0B3D4F25CC}"/>
    <hyperlink ref="B20" location="Panel!C4" display="HOME" xr:uid="{DD1BB495-35BA-4972-ABD0-50CFB6DCE364}"/>
    <hyperlink ref="B23" location="Panel!C4" display="HOME" xr:uid="{3F61F42E-887F-411C-9A2D-80145BBC45A3}"/>
    <hyperlink ref="B5:B6" location="data_formula_legend!A1" display="DATA" xr:uid="{3BAFC6D8-CE5E-4D74-9D13-D0CEB78A2444}"/>
    <hyperlink ref="B17:B18" location="day_1!A1" display="DAY 1" xr:uid="{B65A8A2D-45D0-4108-812B-1E384E254716}"/>
    <hyperlink ref="B8" location="Panel!C4" display="HOME" xr:uid="{016F73C8-2927-44F4-8B51-85BC0FF1EE8C}"/>
    <hyperlink ref="B8:B9" location="Runsheet!A1" display="RUNSHEET" xr:uid="{49C7F0E9-4920-4BF5-A111-986E9A3F881F}"/>
    <hyperlink ref="B20:B21" location="day_2!A1" display="DAY 2" xr:uid="{49E418A6-74C7-4078-BE9E-4CD2C155B970}"/>
    <hyperlink ref="B23:B24" location="day_3!A1" display="DAY 3" xr:uid="{090D167B-1AC3-4A8B-9F19-3DCA6500FE0B}"/>
    <hyperlink ref="B2:B3" location="HOME!A1" display="HOME" xr:uid="{5DC29F7C-1F36-4E95-9CBF-BAD9DB0AD3A5}"/>
    <hyperlink ref="B26" location="Panel!C4" display="HOME" xr:uid="{6724B821-8FF6-470F-8C31-66C505FB80A2}"/>
    <hyperlink ref="B26:B27" location="day_5!A1" display="DAY 4" xr:uid="{0AF43F51-DF08-49B3-9427-6970E588550D}"/>
    <hyperlink ref="B29" location="Panel!C4" display="HOME" xr:uid="{4E481E68-61EB-493C-A40E-E1E41CA0C34E}"/>
    <hyperlink ref="B29:B30" location="day_5!A1" display="DAY 5" xr:uid="{2FE8F4A1-E750-49D0-B9DC-ACCCAB2991D4}"/>
    <hyperlink ref="B32" location="Panel!C4" display="HOME" xr:uid="{88F30038-30A7-431E-94B6-6097E410513F}"/>
    <hyperlink ref="B32:B33" location="day_6!A1" display="DAY 6" xr:uid="{BA8F2834-B33E-407B-9219-6F22F7FA9701}"/>
    <hyperlink ref="B14:B15" location="'Food Serves'!A1" display="FOOD SERVES" xr:uid="{B35E3038-02B9-4CFE-A0FB-422D5CFE51EB}"/>
    <hyperlink ref="B11:B12" location="'Rest Runsheet Food'!A1" display="RESTAURANT RUNSHEET" xr:uid="{1907012A-D8E0-4649-89D3-C85F00A61A54}"/>
    <hyperlink ref="B14" location="Panel!C4" display="HOME" xr:uid="{5D0862EC-5655-4CA2-B4D0-5772DB5E3F6F}"/>
    <hyperlink ref="B11" location="Panel!C4" display="HOME" xr:uid="{C941736F-8B37-45C0-A45E-B48F85B3E63F}"/>
    <hyperlink ref="B35" location="Panel!C4" display="HOME" xr:uid="{DA919C40-51A3-4226-8ED6-0E496F842E2B}"/>
    <hyperlink ref="B35:B36" location="day_7!A1" display="DAY 7" xr:uid="{BBBBDA90-7B5B-4958-BD1E-109432C4C6D0}"/>
    <hyperlink ref="B38" location="Panel!C4" display="HOME" xr:uid="{4439A108-C428-4523-83C7-9F361A139F0E}"/>
    <hyperlink ref="B38:B39" location="day_8!A1" display="DAY 8" xr:uid="{B05F5583-FBCA-4A8D-98F0-18CA674D6DE5}"/>
    <hyperlink ref="B41" location="Panel!C4" display="HOME" xr:uid="{B62DF1C6-65F0-44CF-B5E0-BCB83B502A44}"/>
    <hyperlink ref="B41:B42" location="day_9!A1" display="DAY 9" xr:uid="{5D2D210F-D280-437C-BE9F-95D9CF03C207}"/>
    <hyperlink ref="B44" location="Panel!C4" display="HOME" xr:uid="{D58AF2A3-FCE4-4F01-88F5-4CE476635F87}"/>
    <hyperlink ref="B44:B45" location="day_10!A1" display="DAY 10" xr:uid="{F5E5AF27-48FD-430C-B6D9-14FD2C635430}"/>
    <hyperlink ref="B47" location="Panel!C4" display="HOME" xr:uid="{8917ED06-57D1-4D81-B69A-51856AFED479}"/>
    <hyperlink ref="B47:B48" location="day_11!A1" display="DAY 11" xr:uid="{5E0D202C-344C-47D7-87B1-14D790764EF0}"/>
    <hyperlink ref="B50" location="Panel!C4" display="HOME" xr:uid="{47983610-67AC-4DBD-A18B-22B951F83FB6}"/>
    <hyperlink ref="B50:B51" location="day_12!A1" display="DAY 12" xr:uid="{BD5E554A-E6B4-4B32-8DF6-1C90B0A4BFF8}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021B3-0817-405E-840B-CD72DCB27F38}">
  <sheetPr codeName="Sheet1"/>
  <dimension ref="A1:AH259"/>
  <sheetViews>
    <sheetView topLeftCell="X1" workbookViewId="0">
      <selection activeCell="AC35" sqref="AC35:AD35"/>
    </sheetView>
  </sheetViews>
  <sheetFormatPr defaultRowHeight="15.6" x14ac:dyDescent="0.3"/>
  <cols>
    <col min="1" max="1" width="1.77734375" style="216" customWidth="1"/>
    <col min="2" max="2" width="15.77734375" style="217" customWidth="1"/>
    <col min="3" max="3" width="1.77734375" style="216" customWidth="1"/>
    <col min="4" max="4" width="53.21875" bestFit="1" customWidth="1"/>
    <col min="5" max="5" width="22.6640625" bestFit="1" customWidth="1"/>
    <col min="6" max="6" width="24.109375" bestFit="1" customWidth="1"/>
    <col min="7" max="7" width="16.33203125" bestFit="1" customWidth="1"/>
    <col min="8" max="8" width="3.77734375" customWidth="1"/>
    <col min="9" max="9" width="32.33203125" bestFit="1" customWidth="1"/>
    <col min="10" max="10" width="18" bestFit="1" customWidth="1"/>
    <col min="11" max="11" width="20.88671875" bestFit="1" customWidth="1"/>
    <col min="12" max="12" width="20.88671875" customWidth="1"/>
    <col min="13" max="13" width="23.88671875" bestFit="1" customWidth="1"/>
    <col min="14" max="14" width="23.88671875" customWidth="1"/>
    <col min="15" max="15" width="19.5546875" bestFit="1" customWidth="1"/>
    <col min="16" max="16" width="19.5546875" customWidth="1"/>
    <col min="17" max="17" width="24" bestFit="1" customWidth="1"/>
    <col min="18" max="18" width="24" customWidth="1"/>
    <col min="19" max="19" width="29.6640625" bestFit="1" customWidth="1"/>
    <col min="20" max="20" width="29.6640625" customWidth="1"/>
    <col min="21" max="21" width="29.6640625" bestFit="1" customWidth="1"/>
    <col min="22" max="22" width="29.6640625" customWidth="1"/>
    <col min="23" max="23" width="29.6640625" bestFit="1" customWidth="1"/>
    <col min="24" max="24" width="29.6640625" customWidth="1"/>
    <col min="25" max="25" width="26.5546875" bestFit="1" customWidth="1"/>
    <col min="26" max="26" width="26.5546875" customWidth="1"/>
    <col min="27" max="27" width="21.6640625" bestFit="1" customWidth="1"/>
    <col min="28" max="28" width="24.33203125" customWidth="1"/>
    <col min="29" max="29" width="29.6640625" bestFit="1" customWidth="1"/>
    <col min="30" max="30" width="29.6640625" customWidth="1"/>
    <col min="31" max="31" width="24.5546875" bestFit="1" customWidth="1"/>
    <col min="32" max="33" width="24.5546875" customWidth="1"/>
    <col min="34" max="34" width="25.77734375" bestFit="1" customWidth="1"/>
  </cols>
  <sheetData>
    <row r="1" spans="1:34" ht="16.2" thickBot="1" x14ac:dyDescent="0.35">
      <c r="A1" s="212"/>
      <c r="B1" s="213"/>
      <c r="C1" s="212"/>
    </row>
    <row r="2" spans="1:34" ht="22.2" thickTop="1" thickBot="1" x14ac:dyDescent="0.45">
      <c r="A2" s="212"/>
      <c r="B2" s="318" t="s">
        <v>264</v>
      </c>
      <c r="C2" s="212"/>
      <c r="D2" s="396" t="s">
        <v>43</v>
      </c>
      <c r="E2" s="397"/>
      <c r="F2" s="1"/>
      <c r="K2" s="11"/>
      <c r="L2" s="11"/>
      <c r="M2" s="11"/>
      <c r="N2" s="11"/>
    </row>
    <row r="3" spans="1:34" ht="15" customHeight="1" thickBot="1" x14ac:dyDescent="0.35">
      <c r="A3" s="212"/>
      <c r="B3" s="319"/>
      <c r="C3" s="212"/>
      <c r="D3" s="1" t="s">
        <v>65</v>
      </c>
      <c r="E3" s="31">
        <f>data_formula_legend!E3</f>
        <v>44786</v>
      </c>
      <c r="J3" s="1" t="s">
        <v>31</v>
      </c>
      <c r="K3" s="401">
        <f>E3</f>
        <v>44786</v>
      </c>
      <c r="L3" s="402"/>
      <c r="M3" s="394">
        <f>$E$3+1</f>
        <v>44787</v>
      </c>
      <c r="N3" s="395"/>
      <c r="O3" s="394">
        <f>$E$3+2</f>
        <v>44788</v>
      </c>
      <c r="P3" s="395"/>
      <c r="Q3" s="394">
        <f>$E$3+3</f>
        <v>44789</v>
      </c>
      <c r="R3" s="395"/>
      <c r="S3" s="394">
        <f>$E$3+4</f>
        <v>44790</v>
      </c>
      <c r="T3" s="395"/>
      <c r="U3" s="394">
        <f>$E$3+5</f>
        <v>44791</v>
      </c>
      <c r="V3" s="395"/>
      <c r="W3" s="394">
        <f>$E$3+6</f>
        <v>44792</v>
      </c>
      <c r="X3" s="395"/>
      <c r="Y3" s="394">
        <f>$E$3+7</f>
        <v>44793</v>
      </c>
      <c r="Z3" s="395"/>
      <c r="AA3" s="394">
        <f>$E$3+8</f>
        <v>44794</v>
      </c>
      <c r="AB3" s="395"/>
      <c r="AC3" s="394">
        <f>$E$3+9</f>
        <v>44795</v>
      </c>
      <c r="AD3" s="395"/>
      <c r="AE3" s="394">
        <f>$E$3+10</f>
        <v>44796</v>
      </c>
      <c r="AF3" s="395"/>
      <c r="AG3" s="394">
        <f>$E$3+11</f>
        <v>44797</v>
      </c>
      <c r="AH3" s="395"/>
    </row>
    <row r="4" spans="1:34" ht="16.8" thickTop="1" thickBot="1" x14ac:dyDescent="0.35">
      <c r="A4" s="212"/>
      <c r="B4" s="213"/>
      <c r="C4" s="212"/>
      <c r="J4" s="1" t="s">
        <v>32</v>
      </c>
      <c r="K4" s="392" t="s">
        <v>29</v>
      </c>
      <c r="L4" s="393"/>
      <c r="M4" s="392" t="s">
        <v>0</v>
      </c>
      <c r="N4" s="393"/>
      <c r="O4" s="392" t="s">
        <v>2</v>
      </c>
      <c r="P4" s="393"/>
      <c r="Q4" s="392" t="s">
        <v>3</v>
      </c>
      <c r="R4" s="393"/>
      <c r="S4" s="392" t="s">
        <v>4</v>
      </c>
      <c r="T4" s="393"/>
      <c r="U4" s="392" t="s">
        <v>5</v>
      </c>
      <c r="V4" s="393"/>
      <c r="W4" s="392" t="s">
        <v>6</v>
      </c>
      <c r="X4" s="393"/>
      <c r="Y4" s="392" t="s">
        <v>7</v>
      </c>
      <c r="Z4" s="393"/>
      <c r="AA4" s="392" t="s">
        <v>8</v>
      </c>
      <c r="AB4" s="393"/>
      <c r="AC4" s="392" t="s">
        <v>15</v>
      </c>
      <c r="AD4" s="393"/>
      <c r="AE4" s="392" t="s">
        <v>16</v>
      </c>
      <c r="AF4" s="393"/>
      <c r="AG4" s="392" t="s">
        <v>30</v>
      </c>
      <c r="AH4" s="393"/>
    </row>
    <row r="5" spans="1:34" ht="15" thickTop="1" x14ac:dyDescent="0.3">
      <c r="A5" s="212"/>
      <c r="B5" s="320" t="s">
        <v>247</v>
      </c>
      <c r="C5" s="212"/>
      <c r="J5" s="29" t="s">
        <v>166</v>
      </c>
      <c r="K5" s="390" t="str">
        <f>data_formula_legend!E65</f>
        <v>Mena Creek Flower House</v>
      </c>
      <c r="L5" s="391"/>
      <c r="M5" s="390" t="str">
        <f>data_formula_legend!E72</f>
        <v>Chillagoe Cabins</v>
      </c>
      <c r="N5" s="391"/>
      <c r="O5" s="390" t="str">
        <f>data_formula_legend!E78</f>
        <v>Ferntrees</v>
      </c>
      <c r="P5" s="391"/>
      <c r="Q5" s="390" t="str">
        <f>data_formula_legend!E84</f>
        <v>Milkwood Lodge</v>
      </c>
      <c r="R5" s="391"/>
      <c r="S5" s="390" t="str">
        <f>data_formula_legend!E90</f>
        <v>Wildwishes</v>
      </c>
      <c r="T5" s="391"/>
      <c r="U5" s="390" t="str">
        <f>data_formula_legend!E96</f>
        <v>GreenHoose</v>
      </c>
      <c r="V5" s="391"/>
      <c r="W5" s="390" t="str">
        <f>data_formula_legend!E103</f>
        <v>GreenHoose</v>
      </c>
      <c r="X5" s="391"/>
      <c r="Y5" s="390" t="str">
        <f>data_formula_legend!E110</f>
        <v>Bramwell Station</v>
      </c>
      <c r="Z5" s="391"/>
      <c r="AA5" s="390" t="str">
        <f>data_formula_legend!E118</f>
        <v>Punsand Bay</v>
      </c>
      <c r="AB5" s="391"/>
      <c r="AC5" s="390" t="str">
        <f>data_formula_legend!E125</f>
        <v>Punsand Bay</v>
      </c>
      <c r="AD5" s="391"/>
      <c r="AE5" s="390" t="str">
        <f>data_formula_legend!E132</f>
        <v>Cairns Sheridan Hotel</v>
      </c>
      <c r="AF5" s="391"/>
      <c r="AG5" s="403"/>
      <c r="AH5" s="404"/>
    </row>
    <row r="6" spans="1:34" ht="15" thickBot="1" x14ac:dyDescent="0.35">
      <c r="A6" s="212"/>
      <c r="B6" s="321"/>
      <c r="C6" s="212"/>
      <c r="J6" s="29" t="s">
        <v>167</v>
      </c>
      <c r="K6" s="390" t="str">
        <f>data_formula_legend!E66</f>
        <v>Paronella Park Cabin</v>
      </c>
      <c r="L6" s="391"/>
      <c r="M6" s="390" t="str">
        <f>data_formula_legend!E73</f>
        <v>Chillagoe Ecolodge</v>
      </c>
      <c r="N6" s="391"/>
      <c r="O6" s="390" t="str">
        <f>data_formula_legend!E79</f>
        <v>A None</v>
      </c>
      <c r="P6" s="391"/>
      <c r="Q6" s="390" t="str">
        <f>data_formula_legend!E85</f>
        <v>River of Gold Motel</v>
      </c>
      <c r="R6" s="391"/>
      <c r="S6" s="390" t="str">
        <f>data_formula_legend!E91</f>
        <v>A None</v>
      </c>
      <c r="T6" s="391"/>
      <c r="U6" s="390" t="str">
        <f>data_formula_legend!E97</f>
        <v>A None</v>
      </c>
      <c r="V6" s="391"/>
      <c r="W6" s="390" t="str">
        <f>data_formula_legend!E104</f>
        <v>A None</v>
      </c>
      <c r="X6" s="391"/>
      <c r="Y6" s="390" t="str">
        <f>data_formula_legend!E111</f>
        <v>A None</v>
      </c>
      <c r="Z6" s="391"/>
      <c r="AA6" s="390" t="str">
        <f>data_formula_legend!E119</f>
        <v>A None</v>
      </c>
      <c r="AB6" s="391"/>
      <c r="AC6" s="390" t="str">
        <f>data_formula_legend!E126</f>
        <v>A None</v>
      </c>
      <c r="AD6" s="391"/>
      <c r="AE6" s="390" t="str">
        <f>data_formula_legend!E133</f>
        <v>A None</v>
      </c>
      <c r="AF6" s="391"/>
      <c r="AG6" s="403"/>
      <c r="AH6" s="404"/>
    </row>
    <row r="7" spans="1:34" ht="16.8" thickTop="1" thickBot="1" x14ac:dyDescent="0.35">
      <c r="A7" s="214"/>
      <c r="B7" s="213"/>
      <c r="C7" s="214"/>
      <c r="J7" s="29" t="s">
        <v>168</v>
      </c>
      <c r="K7" s="390" t="str">
        <f>data_formula_legend!E67</f>
        <v>Mena Creek Hotel</v>
      </c>
      <c r="L7" s="391"/>
      <c r="M7" s="390" t="str">
        <f>data_formula_legend!E74</f>
        <v>Cockatoo Hotel</v>
      </c>
      <c r="N7" s="391"/>
      <c r="O7" s="390" t="str">
        <f>data_formula_legend!E80</f>
        <v>A None</v>
      </c>
      <c r="P7" s="391"/>
      <c r="Q7" s="390" t="str">
        <f>data_formula_legend!E86</f>
        <v>A None</v>
      </c>
      <c r="R7" s="391"/>
      <c r="S7" s="390" t="str">
        <f>data_formula_legend!E92</f>
        <v>A None</v>
      </c>
      <c r="T7" s="391"/>
      <c r="U7" s="390" t="str">
        <f>data_formula_legend!E98</f>
        <v>A None</v>
      </c>
      <c r="V7" s="391"/>
      <c r="W7" s="390" t="str">
        <f>data_formula_legend!E105</f>
        <v>A None</v>
      </c>
      <c r="X7" s="391"/>
      <c r="Y7" s="390" t="str">
        <f>data_formula_legend!E112</f>
        <v>A None</v>
      </c>
      <c r="Z7" s="391"/>
      <c r="AA7" s="390" t="str">
        <f>data_formula_legend!E120</f>
        <v>A None</v>
      </c>
      <c r="AB7" s="391"/>
      <c r="AC7" s="390" t="str">
        <f>data_formula_legend!E127</f>
        <v>A None</v>
      </c>
      <c r="AD7" s="391"/>
      <c r="AE7" s="390" t="str">
        <f>data_formula_legend!E134</f>
        <v>A None</v>
      </c>
      <c r="AF7" s="391"/>
      <c r="AG7" s="403"/>
      <c r="AH7" s="404"/>
    </row>
    <row r="8" spans="1:34" ht="15" customHeight="1" thickTop="1" x14ac:dyDescent="0.3">
      <c r="A8" s="212"/>
      <c r="B8" s="318" t="s">
        <v>265</v>
      </c>
      <c r="C8" s="212"/>
      <c r="J8" s="29" t="s">
        <v>173</v>
      </c>
      <c r="K8" s="390">
        <f>data_formula_legend!E68</f>
        <v>0</v>
      </c>
      <c r="L8" s="391"/>
      <c r="M8" s="390">
        <f>data_formula_legend!E75</f>
        <v>0</v>
      </c>
      <c r="N8" s="391"/>
      <c r="O8" s="390">
        <f>data_formula_legend!E81</f>
        <v>0</v>
      </c>
      <c r="P8" s="391"/>
      <c r="Q8" s="390">
        <f>data_formula_legend!E87</f>
        <v>0</v>
      </c>
      <c r="R8" s="391"/>
      <c r="S8" s="390">
        <f>data_formula_legend!E93</f>
        <v>0</v>
      </c>
      <c r="T8" s="391"/>
      <c r="U8" s="390" t="str">
        <f>data_formula_legend!E99</f>
        <v>A None</v>
      </c>
      <c r="V8" s="391"/>
      <c r="W8" s="390" t="str">
        <f>data_formula_legend!E106</f>
        <v>A None</v>
      </c>
      <c r="X8" s="391"/>
      <c r="Y8" s="390" t="str">
        <f>data_formula_legend!E113</f>
        <v>A None</v>
      </c>
      <c r="Z8" s="391"/>
      <c r="AA8" s="390" t="str">
        <f>data_formula_legend!E121</f>
        <v>A None</v>
      </c>
      <c r="AB8" s="391"/>
      <c r="AC8" s="390" t="str">
        <f>data_formula_legend!E128</f>
        <v>A None</v>
      </c>
      <c r="AD8" s="391"/>
      <c r="AE8" s="390" t="str">
        <f>data_formula_legend!E135</f>
        <v>A None</v>
      </c>
      <c r="AF8" s="391"/>
      <c r="AG8" s="388"/>
      <c r="AH8" s="389"/>
    </row>
    <row r="9" spans="1:34" ht="15" customHeight="1" thickBot="1" x14ac:dyDescent="0.35">
      <c r="A9" s="212"/>
      <c r="B9" s="319"/>
      <c r="C9" s="215"/>
      <c r="J9" s="28" t="s">
        <v>55</v>
      </c>
      <c r="K9" s="386" t="s">
        <v>60</v>
      </c>
      <c r="L9" s="387"/>
      <c r="M9" s="386" t="s">
        <v>59</v>
      </c>
      <c r="N9" s="387"/>
      <c r="O9" s="386" t="s">
        <v>60</v>
      </c>
      <c r="P9" s="387"/>
      <c r="Q9" s="386" t="s">
        <v>60</v>
      </c>
      <c r="R9" s="387"/>
      <c r="S9" s="386" t="s">
        <v>60</v>
      </c>
      <c r="T9" s="387"/>
      <c r="U9" s="386" t="s">
        <v>59</v>
      </c>
      <c r="V9" s="387"/>
      <c r="W9" s="386" t="s">
        <v>59</v>
      </c>
      <c r="X9" s="387"/>
      <c r="Y9" s="386" t="s">
        <v>59</v>
      </c>
      <c r="Z9" s="387"/>
      <c r="AA9" s="386" t="s">
        <v>59</v>
      </c>
      <c r="AB9" s="387"/>
      <c r="AC9" s="386" t="s">
        <v>59</v>
      </c>
      <c r="AD9" s="387"/>
      <c r="AE9" s="386" t="s">
        <v>59</v>
      </c>
      <c r="AF9" s="387"/>
      <c r="AG9" s="386" t="s">
        <v>60</v>
      </c>
      <c r="AH9" s="387"/>
    </row>
    <row r="10" spans="1:34" ht="16.8" thickTop="1" thickBot="1" x14ac:dyDescent="0.35">
      <c r="A10" s="212"/>
      <c r="B10" s="213"/>
      <c r="C10" s="215"/>
      <c r="J10" s="15" t="s">
        <v>56</v>
      </c>
      <c r="K10" s="386" t="s">
        <v>60</v>
      </c>
      <c r="L10" s="387"/>
      <c r="M10" s="386" t="s">
        <v>60</v>
      </c>
      <c r="N10" s="387"/>
      <c r="O10" s="386" t="s">
        <v>60</v>
      </c>
      <c r="P10" s="387"/>
      <c r="Q10" s="386" t="s">
        <v>59</v>
      </c>
      <c r="R10" s="387"/>
      <c r="S10" s="386" t="s">
        <v>59</v>
      </c>
      <c r="T10" s="387"/>
      <c r="U10" s="386" t="s">
        <v>59</v>
      </c>
      <c r="V10" s="387"/>
      <c r="W10" s="386" t="s">
        <v>59</v>
      </c>
      <c r="X10" s="387"/>
      <c r="Y10" s="386" t="s">
        <v>59</v>
      </c>
      <c r="Z10" s="387"/>
      <c r="AA10" s="386" t="s">
        <v>59</v>
      </c>
      <c r="AB10" s="387"/>
      <c r="AC10" s="386" t="s">
        <v>60</v>
      </c>
      <c r="AD10" s="387"/>
      <c r="AE10" s="386" t="s">
        <v>60</v>
      </c>
      <c r="AF10" s="387"/>
      <c r="AG10" s="386" t="s">
        <v>60</v>
      </c>
      <c r="AH10" s="387"/>
    </row>
    <row r="11" spans="1:34" ht="15" customHeight="1" thickTop="1" x14ac:dyDescent="0.3">
      <c r="A11" s="212"/>
      <c r="B11" s="318" t="s">
        <v>511</v>
      </c>
      <c r="C11" s="215"/>
      <c r="J11" s="27" t="s">
        <v>57</v>
      </c>
      <c r="K11" s="386" t="s">
        <v>60</v>
      </c>
      <c r="L11" s="387"/>
      <c r="M11" s="386" t="s">
        <v>60</v>
      </c>
      <c r="N11" s="387"/>
      <c r="O11" s="386" t="s">
        <v>60</v>
      </c>
      <c r="P11" s="387"/>
      <c r="Q11" s="386" t="s">
        <v>60</v>
      </c>
      <c r="R11" s="387"/>
      <c r="S11" s="386" t="s">
        <v>59</v>
      </c>
      <c r="T11" s="387"/>
      <c r="U11" s="386" t="s">
        <v>59</v>
      </c>
      <c r="V11" s="387"/>
      <c r="W11" s="386" t="s">
        <v>59</v>
      </c>
      <c r="X11" s="387"/>
      <c r="Y11" s="386" t="s">
        <v>59</v>
      </c>
      <c r="Z11" s="387"/>
      <c r="AA11" s="386" t="s">
        <v>60</v>
      </c>
      <c r="AB11" s="387"/>
      <c r="AC11" s="386" t="s">
        <v>59</v>
      </c>
      <c r="AD11" s="387"/>
      <c r="AE11" s="386" t="s">
        <v>60</v>
      </c>
      <c r="AF11" s="387"/>
      <c r="AG11" s="386" t="s">
        <v>60</v>
      </c>
      <c r="AH11" s="387"/>
    </row>
    <row r="12" spans="1:34" ht="15" customHeight="1" thickBot="1" x14ac:dyDescent="0.35">
      <c r="A12" s="212"/>
      <c r="B12" s="319"/>
      <c r="C12" s="215"/>
      <c r="D12" s="1" t="s">
        <v>37</v>
      </c>
      <c r="E12" s="1" t="s">
        <v>36</v>
      </c>
      <c r="F12" s="1" t="s">
        <v>35</v>
      </c>
      <c r="G12" s="1" t="s">
        <v>109</v>
      </c>
      <c r="K12" s="19"/>
      <c r="L12" s="21"/>
      <c r="M12" s="19"/>
      <c r="N12" s="21"/>
      <c r="O12" s="19"/>
      <c r="P12" s="21"/>
      <c r="Q12" s="19"/>
      <c r="R12" s="21"/>
      <c r="S12" s="19"/>
      <c r="T12" s="21"/>
      <c r="U12" s="19"/>
      <c r="V12" s="21"/>
      <c r="W12" s="19"/>
      <c r="X12" s="21"/>
      <c r="Y12" s="19"/>
      <c r="Z12" s="21"/>
      <c r="AA12" s="19"/>
      <c r="AB12" s="21"/>
      <c r="AC12" s="19"/>
      <c r="AD12" s="21"/>
      <c r="AE12" s="19"/>
      <c r="AF12" s="21"/>
      <c r="AG12" s="19"/>
      <c r="AH12" s="21"/>
    </row>
    <row r="13" spans="1:34" ht="16.8" thickTop="1" thickBot="1" x14ac:dyDescent="0.35">
      <c r="A13" s="212"/>
      <c r="B13" s="213"/>
      <c r="C13" s="215"/>
      <c r="D13" s="43" t="str">
        <f>data_formula_legend!G6</f>
        <v>12 - DPCYT</v>
      </c>
      <c r="E13" s="2" t="str">
        <f>data_formula_legend!H6</f>
        <v>Penelope Lister</v>
      </c>
      <c r="F13" s="2" t="str">
        <f>data_formula_legend!J6</f>
        <v>nil</v>
      </c>
      <c r="G13" s="280">
        <f>data_formula_legend!K6</f>
        <v>0</v>
      </c>
      <c r="J13" t="s">
        <v>63</v>
      </c>
      <c r="K13" s="367"/>
      <c r="L13" s="368"/>
      <c r="M13" s="367"/>
      <c r="N13" s="368"/>
      <c r="O13" s="367"/>
      <c r="P13" s="368"/>
      <c r="Q13" s="367"/>
      <c r="R13" s="368"/>
      <c r="S13" s="367"/>
      <c r="T13" s="368"/>
      <c r="U13" s="367"/>
      <c r="V13" s="368"/>
      <c r="W13" s="367"/>
      <c r="X13" s="368"/>
      <c r="Y13" s="367"/>
      <c r="Z13" s="368"/>
      <c r="AA13" s="367"/>
      <c r="AB13" s="368"/>
      <c r="AC13" s="367"/>
      <c r="AD13" s="368"/>
      <c r="AE13" s="367"/>
      <c r="AF13" s="368"/>
      <c r="AG13" s="367"/>
      <c r="AH13" s="368"/>
    </row>
    <row r="14" spans="1:34" ht="15" customHeight="1" thickTop="1" x14ac:dyDescent="0.3">
      <c r="A14" s="212"/>
      <c r="B14" s="318" t="s">
        <v>512</v>
      </c>
      <c r="C14" s="215"/>
      <c r="D14" s="43" t="str">
        <f>data_formula_legend!G7</f>
        <v>12 - DPCYT</v>
      </c>
      <c r="E14" s="2" t="str">
        <f>data_formula_legend!H7</f>
        <v>Gerald Lister</v>
      </c>
      <c r="F14" s="2" t="str">
        <f>data_formula_legend!J7</f>
        <v>nil</v>
      </c>
      <c r="G14" s="280">
        <f>data_formula_legend!K7</f>
        <v>0</v>
      </c>
      <c r="K14" s="19"/>
      <c r="L14" s="21"/>
      <c r="M14" s="19"/>
      <c r="N14" s="21"/>
      <c r="O14" s="19"/>
      <c r="P14" s="21"/>
      <c r="Q14" s="19"/>
      <c r="R14" s="21"/>
      <c r="S14" s="19"/>
      <c r="T14" s="21"/>
      <c r="U14" s="19"/>
      <c r="V14" s="21"/>
      <c r="W14" s="19"/>
      <c r="X14" s="21"/>
      <c r="Y14" s="19"/>
      <c r="Z14" s="21"/>
      <c r="AA14" s="19"/>
      <c r="AB14" s="21"/>
      <c r="AC14" s="19"/>
      <c r="AD14" s="21"/>
      <c r="AE14" s="19"/>
      <c r="AF14" s="21"/>
      <c r="AG14" s="19"/>
      <c r="AH14" s="21"/>
    </row>
    <row r="15" spans="1:34" ht="15" customHeight="1" thickBot="1" x14ac:dyDescent="0.35">
      <c r="A15" s="212"/>
      <c r="B15" s="319"/>
      <c r="C15" s="215"/>
      <c r="D15" s="43" t="str">
        <f>data_formula_legend!G8</f>
        <v>12 - DPCYT</v>
      </c>
      <c r="E15" s="2" t="str">
        <f>data_formula_legend!H8</f>
        <v>Denis Lister</v>
      </c>
      <c r="F15" s="2" t="str">
        <f>data_formula_legend!J8</f>
        <v>nil</v>
      </c>
      <c r="G15" s="280">
        <f>data_formula_legend!K8</f>
        <v>0</v>
      </c>
      <c r="I15" s="398" t="s">
        <v>117</v>
      </c>
      <c r="J15" s="47" t="s">
        <v>66</v>
      </c>
      <c r="K15" s="367">
        <f>IF(K$9="Yes",$E$48+$E$49+$E$52,0)</f>
        <v>0</v>
      </c>
      <c r="L15" s="368"/>
      <c r="M15" s="367">
        <f>IF(M$9="Yes",$E$48+$E$49+$E$52,0)</f>
        <v>13</v>
      </c>
      <c r="N15" s="368"/>
      <c r="O15" s="367">
        <f>IF(O9="Yes",$E$48+$E$49+$E$52+$E$50+$E$51,0)</f>
        <v>0</v>
      </c>
      <c r="P15" s="368"/>
      <c r="Q15" s="367">
        <f>IF(Q9="Yes",$E$48+$E$49+$E$52+$E$50+$E$51,0)</f>
        <v>0</v>
      </c>
      <c r="R15" s="368"/>
      <c r="S15" s="367">
        <f t="shared" ref="S15:AG16" si="0">IF(S9="Yes",$E$48+$E$49+$E$50+$E$51,0)</f>
        <v>0</v>
      </c>
      <c r="T15" s="368"/>
      <c r="U15" s="367">
        <f t="shared" si="0"/>
        <v>11</v>
      </c>
      <c r="V15" s="368"/>
      <c r="W15" s="367">
        <f t="shared" si="0"/>
        <v>11</v>
      </c>
      <c r="X15" s="368"/>
      <c r="Y15" s="367">
        <f t="shared" si="0"/>
        <v>11</v>
      </c>
      <c r="Z15" s="368"/>
      <c r="AA15" s="367">
        <f t="shared" si="0"/>
        <v>11</v>
      </c>
      <c r="AB15" s="368"/>
      <c r="AC15" s="367">
        <f t="shared" si="0"/>
        <v>11</v>
      </c>
      <c r="AD15" s="368"/>
      <c r="AE15" s="367">
        <f t="shared" si="0"/>
        <v>11</v>
      </c>
      <c r="AF15" s="368"/>
      <c r="AG15" s="367">
        <f t="shared" si="0"/>
        <v>0</v>
      </c>
      <c r="AH15" s="368"/>
    </row>
    <row r="16" spans="1:34" ht="16.8" thickTop="1" thickBot="1" x14ac:dyDescent="0.35">
      <c r="A16" s="212"/>
      <c r="B16" s="213"/>
      <c r="C16" s="215"/>
      <c r="D16" s="43" t="str">
        <f>data_formula_legend!G9</f>
        <v>12 - DSCYT</v>
      </c>
      <c r="E16" s="2" t="str">
        <f>data_formula_legend!H9</f>
        <v>Mark Morgan</v>
      </c>
      <c r="F16" s="2" t="str">
        <f>data_formula_legend!J9</f>
        <v>nil</v>
      </c>
      <c r="G16" s="280">
        <f>data_formula_legend!K9</f>
        <v>0</v>
      </c>
      <c r="I16" s="399"/>
      <c r="J16" s="48" t="s">
        <v>67</v>
      </c>
      <c r="K16" s="367">
        <f>IF(K$10="Yes",$E$48+$E$49+$E$52,0)</f>
        <v>0</v>
      </c>
      <c r="L16" s="368"/>
      <c r="M16" s="367">
        <f t="shared" ref="M16" si="1">IF(M$10="Yes",$E$48+$E$49+$E$52,0)</f>
        <v>0</v>
      </c>
      <c r="N16" s="368"/>
      <c r="O16" s="367">
        <f>IF(O10="Yes",$E$48+$E$49+$E$52+$E$50+$E$51,0)</f>
        <v>0</v>
      </c>
      <c r="P16" s="368"/>
      <c r="Q16" s="372">
        <f>IF(Q10="Yes",$E$48+$E$49+$E$52+$E$50+$E$51,0)</f>
        <v>14</v>
      </c>
      <c r="R16" s="373"/>
      <c r="S16" s="367">
        <f>IF(S10="Yes",$E$48+$E$49+$E$50+$E$51,0)</f>
        <v>11</v>
      </c>
      <c r="T16" s="368"/>
      <c r="U16" s="367">
        <f t="shared" si="0"/>
        <v>11</v>
      </c>
      <c r="V16" s="368"/>
      <c r="W16" s="367">
        <f t="shared" si="0"/>
        <v>11</v>
      </c>
      <c r="X16" s="368"/>
      <c r="Y16" s="367">
        <f t="shared" si="0"/>
        <v>11</v>
      </c>
      <c r="Z16" s="368"/>
      <c r="AA16" s="367">
        <f t="shared" si="0"/>
        <v>11</v>
      </c>
      <c r="AB16" s="368"/>
      <c r="AC16" s="367">
        <f t="shared" si="0"/>
        <v>0</v>
      </c>
      <c r="AD16" s="368"/>
      <c r="AE16" s="367">
        <f t="shared" si="0"/>
        <v>0</v>
      </c>
      <c r="AF16" s="368"/>
      <c r="AG16" s="367">
        <f t="shared" si="0"/>
        <v>0</v>
      </c>
      <c r="AH16" s="368"/>
    </row>
    <row r="17" spans="1:34" ht="15" customHeight="1" thickTop="1" x14ac:dyDescent="0.3">
      <c r="A17" s="212"/>
      <c r="B17" s="318" t="s">
        <v>266</v>
      </c>
      <c r="C17" s="215"/>
      <c r="D17" s="43" t="str">
        <f>data_formula_legend!G10</f>
        <v>12 - DSCYT</v>
      </c>
      <c r="E17" s="2" t="str">
        <f>data_formula_legend!H10</f>
        <v>Nicola Morgan</v>
      </c>
      <c r="F17" s="2" t="str">
        <f>data_formula_legend!J10</f>
        <v>nil</v>
      </c>
      <c r="G17" s="280">
        <f>data_formula_legend!K10</f>
        <v>0</v>
      </c>
      <c r="I17" s="400"/>
      <c r="J17" s="49" t="s">
        <v>64</v>
      </c>
      <c r="K17" s="367">
        <f>IF(K$11="Yes",$E$48+$E$49+$E$52,0)</f>
        <v>0</v>
      </c>
      <c r="L17" s="368"/>
      <c r="M17" s="367">
        <f>IF(M$11="Yes",$E$48+$E$49+$E$52,0)</f>
        <v>0</v>
      </c>
      <c r="N17" s="368"/>
      <c r="O17" s="367">
        <f>IF(O11="Yes",$E$48+$E$49+$E$52+$E$50+$E$51,0)</f>
        <v>0</v>
      </c>
      <c r="P17" s="368"/>
      <c r="Q17" s="367">
        <f>IF(Q11="Yes",$E$48+$E$49+$E$50+$E$51,0)</f>
        <v>0</v>
      </c>
      <c r="R17" s="368"/>
      <c r="S17" s="367">
        <f>IF(S11="Yes",$E$48+$E$49+$E$50+$E$51,0)</f>
        <v>11</v>
      </c>
      <c r="T17" s="368"/>
      <c r="U17" s="367">
        <f t="shared" ref="U17" si="2">IF(U11="Yes",$E$48+$E$49+$E$50+$E$51,0)</f>
        <v>11</v>
      </c>
      <c r="V17" s="368"/>
      <c r="W17" s="367">
        <f t="shared" ref="W17" si="3">IF(W11="Yes",$E$48+$E$49+$E$50+$E$51,0)</f>
        <v>11</v>
      </c>
      <c r="X17" s="368"/>
      <c r="Y17" s="367">
        <f t="shared" ref="Y17" si="4">IF(Y11="Yes",$E$48+$E$49+$E$50+$E$51,0)</f>
        <v>11</v>
      </c>
      <c r="Z17" s="368"/>
      <c r="AA17" s="367">
        <f t="shared" ref="AA17" si="5">IF(AA11="Yes",$E$48+$E$49+$E$50+$E$51,0)</f>
        <v>0</v>
      </c>
      <c r="AB17" s="368"/>
      <c r="AC17" s="367">
        <f t="shared" ref="AC17" si="6">IF(AC11="Yes",$E$48+$E$49+$E$50+$E$51,0)</f>
        <v>11</v>
      </c>
      <c r="AD17" s="368"/>
      <c r="AE17" s="367">
        <f t="shared" ref="AE17" si="7">IF(AE11="Yes",$E$48+$E$49+$E$50+$E$51,0)</f>
        <v>0</v>
      </c>
      <c r="AF17" s="368"/>
      <c r="AG17" s="367">
        <f t="shared" ref="AG17" si="8">IF(AG11="Yes",$E$48+$E$49+$E$50+$E$51,0)</f>
        <v>0</v>
      </c>
      <c r="AH17" s="368"/>
    </row>
    <row r="18" spans="1:34" ht="15" customHeight="1" thickBot="1" x14ac:dyDescent="0.35">
      <c r="A18" s="212"/>
      <c r="B18" s="319"/>
      <c r="C18" s="215"/>
      <c r="D18" s="43" t="str">
        <f>data_formula_legend!G11</f>
        <v>12 - DSCYT</v>
      </c>
      <c r="E18" s="2" t="str">
        <f>data_formula_legend!H11</f>
        <v>Joan Roberts</v>
      </c>
      <c r="F18" s="2" t="str">
        <f>data_formula_legend!J11</f>
        <v>nil</v>
      </c>
      <c r="G18" s="280" t="str">
        <f>data_formula_legend!K11</f>
        <v>needs wheetbix for breakfast / low sugar meals</v>
      </c>
      <c r="K18" s="35"/>
      <c r="L18" s="36"/>
      <c r="M18" s="35"/>
      <c r="N18" s="36"/>
      <c r="O18" s="35"/>
      <c r="P18" s="36"/>
      <c r="Q18" s="35"/>
      <c r="R18" s="36"/>
      <c r="S18" s="35"/>
      <c r="T18" s="36"/>
      <c r="U18" s="35"/>
      <c r="V18" s="36"/>
      <c r="W18" s="35"/>
      <c r="X18" s="36"/>
      <c r="Y18" s="35"/>
      <c r="Z18" s="36"/>
      <c r="AA18" s="35"/>
      <c r="AB18" s="36"/>
      <c r="AC18" s="35"/>
      <c r="AD18" s="36"/>
      <c r="AE18" s="35"/>
      <c r="AF18" s="36"/>
      <c r="AG18" s="35"/>
      <c r="AH18" s="36"/>
    </row>
    <row r="19" spans="1:34" ht="16.8" thickTop="1" thickBot="1" x14ac:dyDescent="0.35">
      <c r="A19" s="212"/>
      <c r="B19" s="213"/>
      <c r="C19" s="215"/>
      <c r="D19" s="43" t="str">
        <f>data_formula_legend!G12</f>
        <v>12 - DSCYT</v>
      </c>
      <c r="E19" s="2" t="str">
        <f>data_formula_legend!H12</f>
        <v>Valerie Mead</v>
      </c>
      <c r="F19" s="2" t="str">
        <f>data_formula_legend!J12</f>
        <v>nil</v>
      </c>
      <c r="G19" s="280">
        <f>data_formula_legend!K12</f>
        <v>0</v>
      </c>
      <c r="I19" s="398" t="s">
        <v>93</v>
      </c>
      <c r="J19" s="33" t="s">
        <v>72</v>
      </c>
      <c r="K19" s="367" t="str">
        <f>data_formula_legend!E34</f>
        <v>N/A</v>
      </c>
      <c r="L19" s="368"/>
      <c r="M19" s="367" t="s">
        <v>12</v>
      </c>
      <c r="N19" s="368"/>
      <c r="O19" s="367" t="s">
        <v>27</v>
      </c>
      <c r="P19" s="368"/>
      <c r="Q19" s="372" t="str">
        <f>data_formula_legend!H34</f>
        <v>N/A</v>
      </c>
      <c r="R19" s="373"/>
      <c r="S19" s="372" t="s">
        <v>27</v>
      </c>
      <c r="T19" s="373"/>
      <c r="U19" s="372" t="str">
        <f>data_formula_legend!J34</f>
        <v>Bacon, Eggs &amp; Sausages</v>
      </c>
      <c r="V19" s="373"/>
      <c r="W19" s="372" t="str">
        <f>data_formula_legend!K34</f>
        <v>Bacon, Eggs &amp; Sausages</v>
      </c>
      <c r="X19" s="373"/>
      <c r="Y19" s="372" t="str">
        <f>data_formula_legend!L34</f>
        <v>Continental</v>
      </c>
      <c r="Z19" s="373"/>
      <c r="AA19" s="372" t="str">
        <f>data_formula_legend!M34</f>
        <v>Continental</v>
      </c>
      <c r="AB19" s="373"/>
      <c r="AC19" s="372" t="str">
        <f>data_formula_legend!N34</f>
        <v>Bacon, Eggs &amp; Sausages</v>
      </c>
      <c r="AD19" s="373"/>
      <c r="AE19" s="372" t="str">
        <f>data_formula_legend!O34</f>
        <v>Continental</v>
      </c>
      <c r="AF19" s="373"/>
      <c r="AG19" s="372" t="str">
        <f>data_formula_legend!P34</f>
        <v>N/A</v>
      </c>
      <c r="AH19" s="373"/>
    </row>
    <row r="20" spans="1:34" ht="15" thickTop="1" x14ac:dyDescent="0.3">
      <c r="A20" s="212"/>
      <c r="B20" s="318" t="s">
        <v>267</v>
      </c>
      <c r="C20" s="215"/>
      <c r="D20" s="43" t="str">
        <f>data_formula_legend!G13</f>
        <v>12 - DSCYT</v>
      </c>
      <c r="E20" s="2" t="str">
        <f>data_formula_legend!H13</f>
        <v>Ann Berriman</v>
      </c>
      <c r="F20" s="2" t="str">
        <f>data_formula_legend!J13</f>
        <v>nil</v>
      </c>
      <c r="G20" s="280">
        <f>data_formula_legend!K13</f>
        <v>0</v>
      </c>
      <c r="I20" s="399"/>
      <c r="J20" s="30" t="s">
        <v>73</v>
      </c>
      <c r="K20" s="367" t="str">
        <f>data_formula_legend!E35</f>
        <v>N/A</v>
      </c>
      <c r="L20" s="368"/>
      <c r="M20" s="367" t="str">
        <f>data_formula_legend!F35</f>
        <v>N/A</v>
      </c>
      <c r="N20" s="368"/>
      <c r="O20" s="367" t="str">
        <f>data_formula_legend!G35</f>
        <v>N/A</v>
      </c>
      <c r="P20" s="368"/>
      <c r="Q20" s="372" t="str">
        <f>data_formula_legend!H35</f>
        <v>Beef Wraps</v>
      </c>
      <c r="R20" s="373"/>
      <c r="S20" s="372" t="str">
        <f>data_formula_legend!I35</f>
        <v>Chicken Wraps</v>
      </c>
      <c r="T20" s="373"/>
      <c r="U20" s="372" t="str">
        <f>data_formula_legend!J35</f>
        <v>Beef Wraps</v>
      </c>
      <c r="V20" s="373"/>
      <c r="W20" s="372" t="str">
        <f>data_formula_legend!K35</f>
        <v>Toasted Chicken Paninis</v>
      </c>
      <c r="X20" s="373"/>
      <c r="Y20" s="372" t="str">
        <f>data_formula_legend!L35</f>
        <v>chickpea curry</v>
      </c>
      <c r="Z20" s="373"/>
      <c r="AA20" s="372" t="str">
        <f>data_formula_legend!M35</f>
        <v>Potato Salad with Chirizo</v>
      </c>
      <c r="AB20" s="373"/>
      <c r="AC20" s="372" t="str">
        <f>data_formula_legend!N35</f>
        <v>N/A</v>
      </c>
      <c r="AD20" s="373"/>
      <c r="AE20" s="372" t="str">
        <f>data_formula_legend!O35</f>
        <v>N/A</v>
      </c>
      <c r="AF20" s="373"/>
      <c r="AG20" s="372" t="str">
        <f>data_formula_legend!P35</f>
        <v>N/A</v>
      </c>
      <c r="AH20" s="373"/>
    </row>
    <row r="21" spans="1:34" ht="29.4" thickBot="1" x14ac:dyDescent="0.35">
      <c r="A21" s="212"/>
      <c r="B21" s="319"/>
      <c r="C21" s="215"/>
      <c r="D21" s="43" t="str">
        <f>data_formula_legend!G14</f>
        <v>12 - DSCYT</v>
      </c>
      <c r="E21" s="2" t="str">
        <f>data_formula_legend!H14</f>
        <v>Wanda Drost</v>
      </c>
      <c r="F21" s="2" t="str">
        <f>data_formula_legend!J14</f>
        <v>celiac</v>
      </c>
      <c r="G21" s="280" t="str">
        <f>data_formula_legend!K14</f>
        <v>Gluten Intolerant/ Allergic to Shellfish</v>
      </c>
      <c r="I21" s="400"/>
      <c r="J21" s="34" t="s">
        <v>74</v>
      </c>
      <c r="K21" s="367" t="str">
        <f>data_formula_legend!E36</f>
        <v>N/A</v>
      </c>
      <c r="L21" s="368"/>
      <c r="M21" s="367" t="str">
        <f>data_formula_legend!F36</f>
        <v>N/A</v>
      </c>
      <c r="N21" s="368"/>
      <c r="O21" s="367" t="str">
        <f>data_formula_legend!G36</f>
        <v>N/A</v>
      </c>
      <c r="P21" s="368"/>
      <c r="Q21" s="372" t="str">
        <f>data_formula_legend!H36</f>
        <v>N/A</v>
      </c>
      <c r="R21" s="373"/>
      <c r="S21" s="372" t="str">
        <f>data_formula_legend!I36</f>
        <v>Chicken Fried Rice</v>
      </c>
      <c r="T21" s="373"/>
      <c r="U21" s="372" t="str">
        <f>data_formula_legend!J36</f>
        <v>Beef &amp; soba noodles</v>
      </c>
      <c r="V21" s="373"/>
      <c r="W21" s="372" t="str">
        <f>data_formula_legend!K36</f>
        <v>Pulled Pork Nachos</v>
      </c>
      <c r="X21" s="373"/>
      <c r="Y21" s="372" t="str">
        <f>data_formula_legend!L36</f>
        <v>Spaghetti Bolognese</v>
      </c>
      <c r="Z21" s="373"/>
      <c r="AA21" s="372" t="str">
        <f>data_formula_legend!M36</f>
        <v>N/A</v>
      </c>
      <c r="AB21" s="373"/>
      <c r="AC21" s="372" t="str">
        <f>data_formula_legend!N36</f>
        <v>Steak &amp; mash</v>
      </c>
      <c r="AD21" s="373"/>
      <c r="AE21" s="372" t="str">
        <f>data_formula_legend!O36</f>
        <v>N/A</v>
      </c>
      <c r="AF21" s="373"/>
      <c r="AG21" s="372" t="str">
        <f>data_formula_legend!P36</f>
        <v>N/A</v>
      </c>
      <c r="AH21" s="373"/>
    </row>
    <row r="22" spans="1:34" ht="30" thickTop="1" thickBot="1" x14ac:dyDescent="0.35">
      <c r="A22" s="212"/>
      <c r="B22" s="213"/>
      <c r="C22" s="215"/>
      <c r="D22" s="43" t="str">
        <f>data_formula_legend!G15</f>
        <v>5 - DTT</v>
      </c>
      <c r="E22" s="2" t="str">
        <f>data_formula_legend!H15</f>
        <v>Ian Neil</v>
      </c>
      <c r="F22" s="2" t="str">
        <f>data_formula_legend!J15</f>
        <v>nil</v>
      </c>
      <c r="G22" s="280">
        <f>data_formula_legend!K15</f>
        <v>0</v>
      </c>
      <c r="I22" s="1"/>
      <c r="J22" s="32"/>
      <c r="K22" s="35"/>
      <c r="L22" s="36"/>
      <c r="M22" s="19"/>
      <c r="N22" s="21"/>
      <c r="O22" s="19"/>
      <c r="P22" s="21"/>
      <c r="Q22" s="19"/>
      <c r="R22" s="21"/>
      <c r="S22" s="19"/>
      <c r="T22" s="21"/>
      <c r="U22" s="19"/>
      <c r="V22" s="21"/>
      <c r="W22" s="19"/>
      <c r="X22" s="21"/>
      <c r="Y22" s="19"/>
      <c r="Z22" s="21"/>
      <c r="AA22" s="19"/>
      <c r="AB22" s="21"/>
      <c r="AC22" s="19"/>
      <c r="AD22" s="21"/>
      <c r="AE22" s="19"/>
      <c r="AF22" s="21"/>
      <c r="AG22" s="19"/>
      <c r="AH22" s="21"/>
    </row>
    <row r="23" spans="1:34" ht="15" customHeight="1" thickTop="1" x14ac:dyDescent="0.3">
      <c r="A23" s="212"/>
      <c r="B23" s="318" t="s">
        <v>268</v>
      </c>
      <c r="C23" s="215"/>
      <c r="D23" s="43" t="str">
        <f>data_formula_legend!G16</f>
        <v>5 - DTT</v>
      </c>
      <c r="E23" s="2" t="str">
        <f>data_formula_legend!H16</f>
        <v>Graheme Fergueson</v>
      </c>
      <c r="F23" s="2" t="str">
        <f>data_formula_legend!J16</f>
        <v>nil</v>
      </c>
      <c r="G23" s="280">
        <f>data_formula_legend!K16</f>
        <v>0</v>
      </c>
      <c r="K23" s="37" t="s">
        <v>76</v>
      </c>
      <c r="L23" s="38" t="s">
        <v>77</v>
      </c>
      <c r="M23" s="37" t="s">
        <v>76</v>
      </c>
      <c r="N23" s="38" t="s">
        <v>77</v>
      </c>
      <c r="O23" s="37" t="s">
        <v>76</v>
      </c>
      <c r="P23" s="38" t="s">
        <v>77</v>
      </c>
      <c r="Q23" s="37" t="s">
        <v>76</v>
      </c>
      <c r="R23" s="38" t="s">
        <v>77</v>
      </c>
      <c r="S23" s="37" t="s">
        <v>76</v>
      </c>
      <c r="T23" s="38" t="s">
        <v>77</v>
      </c>
      <c r="U23" s="37" t="s">
        <v>76</v>
      </c>
      <c r="V23" s="38" t="s">
        <v>77</v>
      </c>
      <c r="W23" s="37" t="s">
        <v>76</v>
      </c>
      <c r="X23" s="38" t="s">
        <v>77</v>
      </c>
      <c r="Y23" s="37" t="s">
        <v>76</v>
      </c>
      <c r="Z23" s="38" t="s">
        <v>77</v>
      </c>
      <c r="AA23" s="37" t="s">
        <v>76</v>
      </c>
      <c r="AB23" s="38" t="s">
        <v>77</v>
      </c>
      <c r="AC23" s="37" t="s">
        <v>76</v>
      </c>
      <c r="AD23" s="38" t="s">
        <v>77</v>
      </c>
      <c r="AE23" s="37" t="s">
        <v>76</v>
      </c>
      <c r="AF23" s="38" t="s">
        <v>77</v>
      </c>
      <c r="AG23" s="37" t="s">
        <v>76</v>
      </c>
      <c r="AH23" s="38" t="s">
        <v>77</v>
      </c>
    </row>
    <row r="24" spans="1:34" ht="15" customHeight="1" thickBot="1" x14ac:dyDescent="0.35">
      <c r="A24" s="212"/>
      <c r="B24" s="319"/>
      <c r="C24" s="215"/>
      <c r="D24" s="43" t="str">
        <f>data_formula_legend!G17</f>
        <v>9 - DPSYT</v>
      </c>
      <c r="E24" s="2" t="str">
        <f>data_formula_legend!H17</f>
        <v>Raewyn Brookie</v>
      </c>
      <c r="F24" s="2" t="str">
        <f>data_formula_legend!J17</f>
        <v>nil</v>
      </c>
      <c r="G24" s="280">
        <f>data_formula_legend!K17</f>
        <v>0</v>
      </c>
      <c r="I24" s="398" t="s">
        <v>97</v>
      </c>
      <c r="J24" s="33" t="s">
        <v>11</v>
      </c>
      <c r="K24" s="39" t="str">
        <f>K19</f>
        <v>N/A</v>
      </c>
      <c r="L24" s="40">
        <f>K15</f>
        <v>0</v>
      </c>
      <c r="M24" s="39" t="str">
        <f>M19</f>
        <v>Continental</v>
      </c>
      <c r="N24" s="40">
        <f>M15</f>
        <v>13</v>
      </c>
      <c r="O24" s="39" t="str">
        <f>O19</f>
        <v>N/A</v>
      </c>
      <c r="P24" s="40">
        <f>O15</f>
        <v>0</v>
      </c>
      <c r="Q24" s="39" t="str">
        <f t="shared" ref="Q24" si="9">Q19</f>
        <v>N/A</v>
      </c>
      <c r="R24" s="40">
        <f t="shared" ref="R24" si="10">Q15</f>
        <v>0</v>
      </c>
      <c r="S24" s="39" t="str">
        <f t="shared" ref="S24" si="11">S19</f>
        <v>N/A</v>
      </c>
      <c r="T24" s="40">
        <f t="shared" ref="T24" si="12">S15</f>
        <v>0</v>
      </c>
      <c r="U24" s="39" t="str">
        <f t="shared" ref="U24" si="13">U19</f>
        <v>Bacon, Eggs &amp; Sausages</v>
      </c>
      <c r="V24" s="40">
        <f t="shared" ref="V24" si="14">U15</f>
        <v>11</v>
      </c>
      <c r="W24" s="39" t="str">
        <f t="shared" ref="W24" si="15">W19</f>
        <v>Bacon, Eggs &amp; Sausages</v>
      </c>
      <c r="X24" s="40">
        <f t="shared" ref="X24" si="16">W15</f>
        <v>11</v>
      </c>
      <c r="Y24" s="39" t="str">
        <f t="shared" ref="Y24" si="17">Y19</f>
        <v>Continental</v>
      </c>
      <c r="Z24" s="40">
        <f t="shared" ref="Z24" si="18">Y15</f>
        <v>11</v>
      </c>
      <c r="AA24" s="39" t="str">
        <f t="shared" ref="AA24" si="19">AA19</f>
        <v>Continental</v>
      </c>
      <c r="AB24" s="40">
        <f t="shared" ref="AB24" si="20">AA15</f>
        <v>11</v>
      </c>
      <c r="AC24" s="39" t="str">
        <f t="shared" ref="AC24" si="21">AC19</f>
        <v>Bacon, Eggs &amp; Sausages</v>
      </c>
      <c r="AD24" s="40">
        <f t="shared" ref="AD24" si="22">AC15</f>
        <v>11</v>
      </c>
      <c r="AE24" s="39" t="str">
        <f t="shared" ref="AE24" si="23">AE19</f>
        <v>Continental</v>
      </c>
      <c r="AF24" s="40">
        <f t="shared" ref="AF24" si="24">AE15</f>
        <v>11</v>
      </c>
      <c r="AG24" s="39" t="str">
        <f t="shared" ref="AG24" si="25">AG19</f>
        <v>N/A</v>
      </c>
      <c r="AH24" s="40">
        <f t="shared" ref="AH24" si="26">AG15</f>
        <v>0</v>
      </c>
    </row>
    <row r="25" spans="1:34" ht="16.8" thickTop="1" thickBot="1" x14ac:dyDescent="0.35">
      <c r="A25" s="212"/>
      <c r="B25" s="213"/>
      <c r="C25" s="215"/>
      <c r="I25" s="399"/>
      <c r="J25" s="30" t="s">
        <v>9</v>
      </c>
      <c r="K25" s="39" t="str">
        <f t="shared" ref="K25:K26" si="27">K20</f>
        <v>N/A</v>
      </c>
      <c r="L25" s="40">
        <f t="shared" ref="L25:L26" si="28">K16</f>
        <v>0</v>
      </c>
      <c r="M25" s="39" t="str">
        <f t="shared" ref="M25:O26" si="29">M20</f>
        <v>N/A</v>
      </c>
      <c r="N25" s="40">
        <f t="shared" ref="N25:P26" si="30">M16</f>
        <v>0</v>
      </c>
      <c r="O25" s="39" t="str">
        <f t="shared" si="29"/>
        <v>N/A</v>
      </c>
      <c r="P25" s="40">
        <f t="shared" si="30"/>
        <v>0</v>
      </c>
      <c r="Q25" s="39" t="str">
        <f t="shared" ref="Q25" si="31">Q20</f>
        <v>Beef Wraps</v>
      </c>
      <c r="R25" s="40">
        <f>Q16</f>
        <v>14</v>
      </c>
      <c r="S25" s="39" t="str">
        <f t="shared" ref="S25" si="32">S20</f>
        <v>Chicken Wraps</v>
      </c>
      <c r="T25" s="40">
        <f t="shared" ref="T25" si="33">S16</f>
        <v>11</v>
      </c>
      <c r="U25" s="39" t="str">
        <f t="shared" ref="U25" si="34">U20</f>
        <v>Beef Wraps</v>
      </c>
      <c r="V25" s="40">
        <f t="shared" ref="V25" si="35">U16</f>
        <v>11</v>
      </c>
      <c r="W25" s="39" t="str">
        <f t="shared" ref="W25" si="36">W20</f>
        <v>Toasted Chicken Paninis</v>
      </c>
      <c r="X25" s="40">
        <f t="shared" ref="X25" si="37">W16</f>
        <v>11</v>
      </c>
      <c r="Y25" s="39" t="str">
        <f t="shared" ref="Y25" si="38">Y20</f>
        <v>chickpea curry</v>
      </c>
      <c r="Z25" s="40">
        <f t="shared" ref="Z25" si="39">Y16</f>
        <v>11</v>
      </c>
      <c r="AA25" s="39" t="str">
        <f t="shared" ref="AA25" si="40">AA20</f>
        <v>Potato Salad with Chirizo</v>
      </c>
      <c r="AB25" s="40">
        <f t="shared" ref="AB25" si="41">AA16</f>
        <v>11</v>
      </c>
      <c r="AC25" s="39" t="str">
        <f t="shared" ref="AC25" si="42">AC20</f>
        <v>N/A</v>
      </c>
      <c r="AD25" s="40">
        <f t="shared" ref="AD25" si="43">AC16</f>
        <v>0</v>
      </c>
      <c r="AE25" s="39" t="str">
        <f t="shared" ref="AE25" si="44">AE20</f>
        <v>N/A</v>
      </c>
      <c r="AF25" s="40">
        <f t="shared" ref="AF25" si="45">AE16</f>
        <v>0</v>
      </c>
      <c r="AG25" s="39" t="str">
        <f t="shared" ref="AG25" si="46">AG20</f>
        <v>N/A</v>
      </c>
      <c r="AH25" s="40">
        <f t="shared" ref="AH25" si="47">AG16</f>
        <v>0</v>
      </c>
    </row>
    <row r="26" spans="1:34" ht="15.6" customHeight="1" thickTop="1" thickBot="1" x14ac:dyDescent="0.35">
      <c r="A26" s="212"/>
      <c r="B26" s="318" t="s">
        <v>269</v>
      </c>
      <c r="C26" s="215"/>
      <c r="D26" s="1" t="s">
        <v>37</v>
      </c>
      <c r="E26" s="1" t="s">
        <v>49</v>
      </c>
      <c r="F26" s="1" t="s">
        <v>35</v>
      </c>
      <c r="G26" s="1" t="s">
        <v>109</v>
      </c>
      <c r="I26" s="400"/>
      <c r="J26" s="34" t="s">
        <v>1</v>
      </c>
      <c r="K26" s="41" t="str">
        <f t="shared" si="27"/>
        <v>N/A</v>
      </c>
      <c r="L26" s="42">
        <f t="shared" si="28"/>
        <v>0</v>
      </c>
      <c r="M26" s="41" t="str">
        <f t="shared" si="29"/>
        <v>N/A</v>
      </c>
      <c r="N26" s="42">
        <f t="shared" si="30"/>
        <v>0</v>
      </c>
      <c r="O26" s="41" t="str">
        <f t="shared" si="29"/>
        <v>N/A</v>
      </c>
      <c r="P26" s="42">
        <f t="shared" si="30"/>
        <v>0</v>
      </c>
      <c r="Q26" s="41" t="str">
        <f t="shared" ref="Q26" si="48">Q21</f>
        <v>N/A</v>
      </c>
      <c r="R26" s="42">
        <f t="shared" ref="R26" si="49">Q17</f>
        <v>0</v>
      </c>
      <c r="S26" s="41" t="str">
        <f t="shared" ref="S26" si="50">S21</f>
        <v>Chicken Fried Rice</v>
      </c>
      <c r="T26" s="42">
        <f t="shared" ref="T26" si="51">S17</f>
        <v>11</v>
      </c>
      <c r="U26" s="41" t="str">
        <f t="shared" ref="U26" si="52">U21</f>
        <v>Beef &amp; soba noodles</v>
      </c>
      <c r="V26" s="42">
        <f t="shared" ref="V26" si="53">U17</f>
        <v>11</v>
      </c>
      <c r="W26" s="41" t="str">
        <f t="shared" ref="W26" si="54">W21</f>
        <v>Pulled Pork Nachos</v>
      </c>
      <c r="X26" s="42">
        <f t="shared" ref="X26" si="55">W17</f>
        <v>11</v>
      </c>
      <c r="Y26" s="41" t="str">
        <f t="shared" ref="Y26" si="56">Y21</f>
        <v>Spaghetti Bolognese</v>
      </c>
      <c r="Z26" s="42">
        <f t="shared" ref="Z26" si="57">Y17</f>
        <v>11</v>
      </c>
      <c r="AA26" s="41" t="str">
        <f t="shared" ref="AA26" si="58">AA21</f>
        <v>N/A</v>
      </c>
      <c r="AB26" s="42">
        <f t="shared" ref="AB26" si="59">AA17</f>
        <v>0</v>
      </c>
      <c r="AC26" s="41" t="str">
        <f t="shared" ref="AC26" si="60">AC21</f>
        <v>Steak &amp; mash</v>
      </c>
      <c r="AD26" s="42">
        <f t="shared" ref="AD26" si="61">AC17</f>
        <v>11</v>
      </c>
      <c r="AE26" s="41" t="str">
        <f t="shared" ref="AE26" si="62">AE21</f>
        <v>N/A</v>
      </c>
      <c r="AF26" s="42">
        <f t="shared" ref="AF26" si="63">AE17</f>
        <v>0</v>
      </c>
      <c r="AG26" s="41" t="str">
        <f t="shared" ref="AG26" si="64">AG21</f>
        <v>N/A</v>
      </c>
      <c r="AH26" s="42">
        <f t="shared" ref="AH26" si="65">AG17</f>
        <v>0</v>
      </c>
    </row>
    <row r="27" spans="1:34" ht="15" customHeight="1" thickBot="1" x14ac:dyDescent="0.35">
      <c r="A27" s="212"/>
      <c r="B27" s="319"/>
      <c r="C27" s="215"/>
      <c r="D27" s="43" t="str">
        <f>data_formula_legend!M6</f>
        <v>12 - DPCYT</v>
      </c>
      <c r="E27" s="25" t="str">
        <f>data_formula_legend!N6</f>
        <v>Malia Schmidt</v>
      </c>
      <c r="F27" s="2" t="s">
        <v>28</v>
      </c>
      <c r="G27" s="2">
        <f>data_formula_legend!P6</f>
        <v>0</v>
      </c>
    </row>
    <row r="28" spans="1:34" ht="16.8" thickTop="1" thickBot="1" x14ac:dyDescent="0.35">
      <c r="A28" s="212"/>
      <c r="B28" s="213"/>
      <c r="C28" s="215"/>
      <c r="D28" s="43" t="str">
        <f>data_formula_legend!M7</f>
        <v>12 - DPCYT</v>
      </c>
      <c r="E28" s="25" t="str">
        <f>data_formula_legend!N7</f>
        <v>Mark Cromwell</v>
      </c>
      <c r="F28" s="2" t="s">
        <v>28</v>
      </c>
      <c r="G28" s="2">
        <f>data_formula_legend!P7</f>
        <v>0</v>
      </c>
    </row>
    <row r="29" spans="1:34" ht="15" customHeight="1" thickTop="1" x14ac:dyDescent="0.3">
      <c r="A29" s="212"/>
      <c r="B29" s="318" t="s">
        <v>270</v>
      </c>
      <c r="C29" s="215"/>
      <c r="D29" s="43" t="str">
        <f>data_formula_legend!M8</f>
        <v>5 - DTT</v>
      </c>
      <c r="E29" s="25" t="str">
        <f>data_formula_legend!N8</f>
        <v>Orion</v>
      </c>
      <c r="F29" s="2" t="s">
        <v>28</v>
      </c>
      <c r="G29" s="2">
        <f>data_formula_legend!P8</f>
        <v>0</v>
      </c>
      <c r="I29" s="383" t="s">
        <v>118</v>
      </c>
      <c r="J29" s="47" t="s">
        <v>66</v>
      </c>
      <c r="K29" s="372">
        <f>IF(K9="Yes",$E$55+$E$56+$E$59,0)</f>
        <v>0</v>
      </c>
      <c r="L29" s="373"/>
      <c r="M29" s="372">
        <f t="shared" ref="M29" si="66">IF(M9="Yes",$E$55+$E$56+$E$59,0)</f>
        <v>1</v>
      </c>
      <c r="N29" s="373"/>
      <c r="O29" s="372">
        <f>IF(O9="Yes",$E$55+$E$56+$E$59+$E$57+$E$58,0)</f>
        <v>0</v>
      </c>
      <c r="P29" s="373"/>
      <c r="Q29" s="372">
        <f>IF(Q9="Yes",$E$55+$E$56+$E$59+$E$57+$E$58,0)</f>
        <v>0</v>
      </c>
      <c r="R29" s="373"/>
      <c r="S29" s="372">
        <f>IF(S9="Yes",$E$55+$E$56+$E$59+$E$57+$E$58,0)</f>
        <v>0</v>
      </c>
      <c r="T29" s="373"/>
      <c r="U29" s="372">
        <f>IF(U9="Yes",$E$55+$E$56+$E$59+$E$57+$E$58,0)</f>
        <v>1</v>
      </c>
      <c r="V29" s="373"/>
      <c r="W29" s="372">
        <f t="shared" ref="W29" si="67">IF(W9="Yes",$E$55+$E$56+$E$59+$E$57+$E$58,0)</f>
        <v>1</v>
      </c>
      <c r="X29" s="373"/>
      <c r="Y29" s="372">
        <f t="shared" ref="Y29" si="68">IF(Y9="Yes",$E$55+$E$56+$E$59+$E$57+$E$58,0)</f>
        <v>1</v>
      </c>
      <c r="Z29" s="373"/>
      <c r="AA29" s="372">
        <f t="shared" ref="AA29" si="69">IF(AA9="Yes",$E$55+$E$56+$E$59+$E$57+$E$58,0)</f>
        <v>1</v>
      </c>
      <c r="AB29" s="373"/>
      <c r="AC29" s="372">
        <f t="shared" ref="AC29" si="70">IF(AC9="Yes",$E$55+$E$56+$E$59+$E$57+$E$58,0)</f>
        <v>1</v>
      </c>
      <c r="AD29" s="373"/>
      <c r="AE29" s="372">
        <f t="shared" ref="AE29" si="71">IF(AE9="Yes",$E$55+$E$56+$E$59+$E$57+$E$58,0)</f>
        <v>1</v>
      </c>
      <c r="AF29" s="373"/>
      <c r="AG29" s="372">
        <f t="shared" ref="AG29" si="72">IF(AG9="Yes",$E$55+$E$56+$E$59+$E$57+$E$58,0)</f>
        <v>0</v>
      </c>
      <c r="AH29" s="373"/>
    </row>
    <row r="30" spans="1:34" ht="15" customHeight="1" thickBot="1" x14ac:dyDescent="0.35">
      <c r="A30" s="212"/>
      <c r="B30" s="319"/>
      <c r="C30" s="215"/>
      <c r="D30" s="43">
        <f>data_formula_legend!M9</f>
        <v>0</v>
      </c>
      <c r="E30" s="25">
        <f>data_formula_legend!N9</f>
        <v>0</v>
      </c>
      <c r="F30" s="2" t="s">
        <v>28</v>
      </c>
      <c r="G30" s="2">
        <f>data_formula_legend!P9</f>
        <v>0</v>
      </c>
      <c r="I30" s="384"/>
      <c r="J30" s="48" t="s">
        <v>67</v>
      </c>
      <c r="K30" s="372">
        <f>IF(K10="Yes",$E$55+$E$56+$E$59,0)</f>
        <v>0</v>
      </c>
      <c r="L30" s="373"/>
      <c r="M30" s="372">
        <f t="shared" ref="M30" si="73">IF(M10="Yes",$E$55+$E$56+$E$59,0)</f>
        <v>0</v>
      </c>
      <c r="N30" s="373"/>
      <c r="O30" s="372">
        <f>IF(O10="Yes",$E$55+$E$56+$E$59+$E$57+$E$58,0)</f>
        <v>0</v>
      </c>
      <c r="P30" s="373"/>
      <c r="Q30" s="372">
        <f>IF(Q10="Yes",$E$55+$E$56+$E$59+$E$57+$E$58,0)</f>
        <v>1</v>
      </c>
      <c r="R30" s="373"/>
      <c r="S30" s="372">
        <f>IF(S10="Yes",$E$55+$E$56+$E$59+$E$57+$E$58,0)</f>
        <v>1</v>
      </c>
      <c r="T30" s="373"/>
      <c r="U30" s="372">
        <f>IF(U10="Yes",$E$55+$E$56+$E$59+$E$57+$E$58,0)</f>
        <v>1</v>
      </c>
      <c r="V30" s="373"/>
      <c r="W30" s="372">
        <f t="shared" ref="W30" si="74">IF(W10="Yes",$E$55+$E$56+$E$59+$E$57+$E$58,0)</f>
        <v>1</v>
      </c>
      <c r="X30" s="373"/>
      <c r="Y30" s="372">
        <f t="shared" ref="Y30" si="75">IF(Y10="Yes",$E$55+$E$56+$E$59+$E$57+$E$58,0)</f>
        <v>1</v>
      </c>
      <c r="Z30" s="373"/>
      <c r="AA30" s="372">
        <f t="shared" ref="AA30" si="76">IF(AA10="Yes",$E$55+$E$56+$E$59+$E$57+$E$58,0)</f>
        <v>1</v>
      </c>
      <c r="AB30" s="373"/>
      <c r="AC30" s="372">
        <f t="shared" ref="AC30" si="77">IF(AC10="Yes",$E$55+$E$56+$E$59+$E$57+$E$58,0)</f>
        <v>0</v>
      </c>
      <c r="AD30" s="373"/>
      <c r="AE30" s="372">
        <f t="shared" ref="AE30" si="78">IF(AE10="Yes",$E$55+$E$56+$E$59+$E$57+$E$58,0)</f>
        <v>0</v>
      </c>
      <c r="AF30" s="373"/>
      <c r="AG30" s="372">
        <f t="shared" ref="AG30" si="79">IF(AG10="Yes",$E$55+$E$56+$E$59+$E$57+$E$58,0)</f>
        <v>0</v>
      </c>
      <c r="AH30" s="373"/>
    </row>
    <row r="31" spans="1:34" ht="16.8" thickTop="1" thickBot="1" x14ac:dyDescent="0.35">
      <c r="A31" s="212"/>
      <c r="B31" s="213"/>
      <c r="C31" s="215"/>
      <c r="D31" s="1" t="s">
        <v>50</v>
      </c>
      <c r="E31" s="24">
        <f>COUNTIF($D$13:$D$24,"12 - DPCYT")</f>
        <v>3</v>
      </c>
      <c r="F31" s="11"/>
      <c r="I31" s="385"/>
      <c r="J31" s="49" t="s">
        <v>64</v>
      </c>
      <c r="K31" s="372">
        <f>IF(K11="Yes",$E$55+$E$56+$E$59,0)</f>
        <v>0</v>
      </c>
      <c r="L31" s="373"/>
      <c r="M31" s="372">
        <f t="shared" ref="M31" si="80">IF(M11="Yes",$E$55+$E$56+$E$59,0)</f>
        <v>0</v>
      </c>
      <c r="N31" s="373"/>
      <c r="O31" s="372">
        <f t="shared" ref="O31" si="81">IF(O11="Yes",$E$55+$E$56+$E$59+$E$57+$E$58,0)</f>
        <v>0</v>
      </c>
      <c r="P31" s="373"/>
      <c r="Q31" s="372">
        <f>IF(Q11="Yes",$E$55+$E$56+$E$59+$E$57+$E$58,0)</f>
        <v>0</v>
      </c>
      <c r="R31" s="373"/>
      <c r="S31" s="372">
        <f>IF(S11="Yes",$E$55+$E$56+$E$59+$E$57+$E$58,0)</f>
        <v>1</v>
      </c>
      <c r="T31" s="373"/>
      <c r="U31" s="372">
        <f>IF(U11="Yes",$E$55+$E$56+$E$59+$E$57+$E$58,0)</f>
        <v>1</v>
      </c>
      <c r="V31" s="373"/>
      <c r="W31" s="372">
        <f t="shared" ref="W31" si="82">IF(W11="Yes",$E$55+$E$56+$E$59+$E$57+$E$58,0)</f>
        <v>1</v>
      </c>
      <c r="X31" s="373"/>
      <c r="Y31" s="372">
        <f t="shared" ref="Y31" si="83">IF(Y11="Yes",$E$55+$E$56+$E$59+$E$57+$E$58,0)</f>
        <v>1</v>
      </c>
      <c r="Z31" s="373"/>
      <c r="AA31" s="372">
        <f t="shared" ref="AA31" si="84">IF(AA11="Yes",$E$55+$E$56+$E$59+$E$57+$E$58,0)</f>
        <v>0</v>
      </c>
      <c r="AB31" s="373"/>
      <c r="AC31" s="372">
        <f t="shared" ref="AC31" si="85">IF(AC11="Yes",$E$55+$E$56+$E$59+$E$57+$E$58,0)</f>
        <v>1</v>
      </c>
      <c r="AD31" s="373"/>
      <c r="AE31" s="372">
        <f t="shared" ref="AE31" si="86">IF(AE11="Yes",$E$55+$E$56+$E$59+$E$57+$E$58,0)</f>
        <v>0</v>
      </c>
      <c r="AF31" s="373"/>
      <c r="AG31" s="372">
        <f t="shared" ref="AG31" si="87">IF(AG11="Yes",$E$55+$E$56+$E$59+$E$57+$E$58,0)</f>
        <v>0</v>
      </c>
      <c r="AH31" s="373"/>
    </row>
    <row r="32" spans="1:34" ht="15" customHeight="1" thickTop="1" x14ac:dyDescent="0.3">
      <c r="A32" s="212"/>
      <c r="B32" s="318" t="s">
        <v>271</v>
      </c>
      <c r="C32" s="215"/>
      <c r="D32" s="1" t="s">
        <v>155</v>
      </c>
      <c r="E32" s="24">
        <f>COUNTIF($D$13:$D$24,"12 - DSCYT")</f>
        <v>6</v>
      </c>
      <c r="F32" s="11"/>
      <c r="K32" s="35"/>
      <c r="L32" s="36"/>
      <c r="M32" s="35"/>
      <c r="N32" s="36"/>
      <c r="O32" s="35"/>
      <c r="P32" s="36"/>
      <c r="Q32" s="35"/>
      <c r="R32" s="36"/>
      <c r="S32" s="35"/>
      <c r="T32" s="36"/>
      <c r="U32" s="35"/>
      <c r="V32" s="36"/>
      <c r="W32" s="35"/>
      <c r="X32" s="36"/>
      <c r="Y32" s="35"/>
      <c r="Z32" s="36"/>
      <c r="AA32" s="35"/>
      <c r="AB32" s="36"/>
      <c r="AC32" s="35"/>
      <c r="AD32" s="36"/>
      <c r="AE32" s="35"/>
      <c r="AF32" s="36"/>
      <c r="AG32" s="35"/>
      <c r="AH32" s="36"/>
    </row>
    <row r="33" spans="1:34" ht="15" customHeight="1" thickBot="1" x14ac:dyDescent="0.35">
      <c r="A33" s="212"/>
      <c r="B33" s="319"/>
      <c r="C33" s="215"/>
      <c r="D33" s="1" t="s">
        <v>513</v>
      </c>
      <c r="E33" s="24">
        <f>COUNTIF($D$13:$D$24,"9 - DPSYT")</f>
        <v>1</v>
      </c>
      <c r="F33" s="11"/>
      <c r="I33" s="383" t="s">
        <v>119</v>
      </c>
      <c r="J33" s="33" t="s">
        <v>72</v>
      </c>
      <c r="K33" s="367" t="str">
        <f>data_formula_legend!E40</f>
        <v>N/A</v>
      </c>
      <c r="L33" s="368"/>
      <c r="M33" s="367" t="str">
        <f>data_formula_legend!F40</f>
        <v>Continental</v>
      </c>
      <c r="N33" s="368"/>
      <c r="O33" s="367" t="str">
        <f>data_formula_legend!G40</f>
        <v>N/A</v>
      </c>
      <c r="P33" s="368"/>
      <c r="Q33" s="367" t="str">
        <f>data_formula_legend!H40</f>
        <v>N/A</v>
      </c>
      <c r="R33" s="368"/>
      <c r="S33" s="367" t="s">
        <v>27</v>
      </c>
      <c r="T33" s="368"/>
      <c r="U33" s="367" t="str">
        <f>data_formula_legend!J40</f>
        <v>Bacon, Eggs &amp; Sausages</v>
      </c>
      <c r="V33" s="368"/>
      <c r="W33" s="367" t="str">
        <f>data_formula_legend!K40</f>
        <v>Bacon, Eggs &amp; Sausages</v>
      </c>
      <c r="X33" s="368"/>
      <c r="Y33" s="367" t="str">
        <f>data_formula_legend!L40</f>
        <v>Continental</v>
      </c>
      <c r="Z33" s="368"/>
      <c r="AA33" s="367" t="str">
        <f>data_formula_legend!M40</f>
        <v>Continental</v>
      </c>
      <c r="AB33" s="368"/>
      <c r="AC33" s="367" t="str">
        <f>data_formula_legend!N40</f>
        <v>Bacon, Eggs &amp; Sausages</v>
      </c>
      <c r="AD33" s="368"/>
      <c r="AE33" s="367" t="str">
        <f>data_formula_legend!O40</f>
        <v>Continental</v>
      </c>
      <c r="AF33" s="368"/>
      <c r="AG33" s="367" t="str">
        <f>data_formula_legend!P40</f>
        <v>N/A</v>
      </c>
      <c r="AH33" s="368"/>
    </row>
    <row r="34" spans="1:34" ht="16.8" thickTop="1" thickBot="1" x14ac:dyDescent="0.35">
      <c r="A34" s="212"/>
      <c r="B34" s="213"/>
      <c r="C34" s="215"/>
      <c r="D34" s="1" t="s">
        <v>156</v>
      </c>
      <c r="E34" s="24">
        <f>COUNTIF($D$13:$D$24,"9 - DSCYT")</f>
        <v>0</v>
      </c>
      <c r="F34" s="11"/>
      <c r="I34" s="384"/>
      <c r="J34" s="30" t="s">
        <v>73</v>
      </c>
      <c r="K34" s="367" t="str">
        <f>data_formula_legend!E41</f>
        <v>N/A</v>
      </c>
      <c r="L34" s="368"/>
      <c r="M34" s="367" t="str">
        <f>data_formula_legend!F41</f>
        <v>N/A</v>
      </c>
      <c r="N34" s="368"/>
      <c r="O34" s="367" t="str">
        <f>data_formula_legend!G41</f>
        <v>N/A</v>
      </c>
      <c r="P34" s="368"/>
      <c r="Q34" s="367" t="str">
        <f>data_formula_legend!H41</f>
        <v>Beef Wraps</v>
      </c>
      <c r="R34" s="368"/>
      <c r="S34" s="367" t="str">
        <f>data_formula_legend!I41</f>
        <v>Chicken Wraps</v>
      </c>
      <c r="T34" s="368"/>
      <c r="U34" s="367" t="str">
        <f>data_formula_legend!J41</f>
        <v>Beef Wraps</v>
      </c>
      <c r="V34" s="368"/>
      <c r="W34" s="367" t="str">
        <f>data_formula_legend!K41</f>
        <v>Toasted Chicken Paninis</v>
      </c>
      <c r="X34" s="368"/>
      <c r="Y34" s="367" t="str">
        <f>data_formula_legend!L41</f>
        <v>chickpea curry</v>
      </c>
      <c r="Z34" s="368"/>
      <c r="AA34" s="367" t="str">
        <f>data_formula_legend!M41</f>
        <v>Potato Salad with Chirizo</v>
      </c>
      <c r="AB34" s="368"/>
      <c r="AC34" s="367" t="str">
        <f>data_formula_legend!O41</f>
        <v>N/A</v>
      </c>
      <c r="AD34" s="368"/>
      <c r="AE34" s="367" t="str">
        <f>data_formula_legend!O41</f>
        <v>N/A</v>
      </c>
      <c r="AF34" s="368"/>
      <c r="AG34" s="367" t="str">
        <f>data_formula_legend!P41</f>
        <v>N/A</v>
      </c>
      <c r="AH34" s="368"/>
    </row>
    <row r="35" spans="1:34" ht="15" customHeight="1" thickTop="1" x14ac:dyDescent="0.3">
      <c r="A35" s="212"/>
      <c r="B35" s="318" t="s">
        <v>272</v>
      </c>
      <c r="C35" s="215"/>
      <c r="D35" s="1" t="s">
        <v>51</v>
      </c>
      <c r="E35" s="24">
        <f>COUNTIF($D$13:$D$24,"5 - DTT")</f>
        <v>2</v>
      </c>
      <c r="F35" s="11"/>
      <c r="I35" s="385"/>
      <c r="J35" s="34" t="s">
        <v>74</v>
      </c>
      <c r="K35" s="367" t="str">
        <f>data_formula_legend!E42</f>
        <v>N/A</v>
      </c>
      <c r="L35" s="368"/>
      <c r="M35" s="367" t="str">
        <f>data_formula_legend!F42</f>
        <v>N/A</v>
      </c>
      <c r="N35" s="368"/>
      <c r="O35" s="367" t="str">
        <f>data_formula_legend!G42</f>
        <v>N/A</v>
      </c>
      <c r="P35" s="368"/>
      <c r="Q35" s="367" t="str">
        <f>data_formula_legend!H42</f>
        <v>N/A</v>
      </c>
      <c r="R35" s="368"/>
      <c r="S35" s="367" t="str">
        <f>data_formula_legend!I42</f>
        <v>Chicken Fried Rice</v>
      </c>
      <c r="T35" s="368"/>
      <c r="U35" s="367" t="str">
        <f>data_formula_legend!J42</f>
        <v>Beef &amp; soba noodles</v>
      </c>
      <c r="V35" s="368"/>
      <c r="W35" s="367" t="str">
        <f>data_formula_legend!K42</f>
        <v>Pulled Pork Nachos</v>
      </c>
      <c r="X35" s="368"/>
      <c r="Y35" s="367" t="str">
        <f>data_formula_legend!L42</f>
        <v>Spaghetti Bolognese</v>
      </c>
      <c r="Z35" s="368"/>
      <c r="AA35" s="367" t="str">
        <f>data_formula_legend!M42</f>
        <v>N/A</v>
      </c>
      <c r="AB35" s="368"/>
      <c r="AC35" s="367" t="s">
        <v>21</v>
      </c>
      <c r="AD35" s="368"/>
      <c r="AE35" s="367" t="str">
        <f>data_formula_legend!O42</f>
        <v>N/A</v>
      </c>
      <c r="AF35" s="368"/>
      <c r="AG35" s="367" t="str">
        <f>data_formula_legend!P42</f>
        <v>N/A</v>
      </c>
      <c r="AH35" s="368"/>
    </row>
    <row r="36" spans="1:34" ht="15" customHeight="1" thickBot="1" x14ac:dyDescent="0.35">
      <c r="A36" s="212"/>
      <c r="B36" s="319"/>
      <c r="C36" s="215"/>
      <c r="E36" s="4"/>
      <c r="F36" s="11"/>
      <c r="I36" s="1"/>
      <c r="J36" s="32"/>
      <c r="K36" s="35"/>
      <c r="L36" s="36"/>
      <c r="M36" s="19"/>
      <c r="N36" s="21"/>
      <c r="O36" s="19"/>
      <c r="P36" s="21"/>
      <c r="Q36" s="19"/>
      <c r="R36" s="21"/>
      <c r="S36" s="19"/>
      <c r="T36" s="21"/>
      <c r="U36" s="19"/>
      <c r="V36" s="21"/>
      <c r="W36" s="19"/>
      <c r="X36" s="21"/>
      <c r="Y36" s="19"/>
      <c r="Z36" s="21"/>
      <c r="AA36" s="19"/>
      <c r="AB36" s="21"/>
      <c r="AC36" s="19"/>
      <c r="AD36" s="21"/>
      <c r="AE36" s="19"/>
      <c r="AF36" s="21"/>
      <c r="AG36" s="19"/>
      <c r="AH36" s="21"/>
    </row>
    <row r="37" spans="1:34" ht="16.8" thickTop="1" thickBot="1" x14ac:dyDescent="0.35">
      <c r="A37" s="212"/>
      <c r="B37" s="213"/>
      <c r="C37" s="215"/>
      <c r="F37" s="11"/>
      <c r="K37" s="37" t="s">
        <v>76</v>
      </c>
      <c r="L37" s="38" t="s">
        <v>77</v>
      </c>
      <c r="M37" s="37" t="s">
        <v>76</v>
      </c>
      <c r="N37" s="38" t="s">
        <v>77</v>
      </c>
      <c r="O37" s="37" t="s">
        <v>76</v>
      </c>
      <c r="P37" s="38" t="s">
        <v>77</v>
      </c>
      <c r="Q37" s="37" t="s">
        <v>76</v>
      </c>
      <c r="R37" s="38" t="s">
        <v>77</v>
      </c>
      <c r="S37" s="37" t="s">
        <v>76</v>
      </c>
      <c r="T37" s="38" t="s">
        <v>77</v>
      </c>
      <c r="U37" s="37" t="s">
        <v>76</v>
      </c>
      <c r="V37" s="38" t="s">
        <v>77</v>
      </c>
      <c r="W37" s="37" t="s">
        <v>76</v>
      </c>
      <c r="X37" s="38" t="s">
        <v>77</v>
      </c>
      <c r="Y37" s="37" t="s">
        <v>76</v>
      </c>
      <c r="Z37" s="38" t="s">
        <v>77</v>
      </c>
      <c r="AA37" s="37" t="s">
        <v>76</v>
      </c>
      <c r="AB37" s="38" t="s">
        <v>77</v>
      </c>
      <c r="AC37" s="37" t="s">
        <v>76</v>
      </c>
      <c r="AD37" s="38" t="s">
        <v>77</v>
      </c>
      <c r="AE37" s="37" t="s">
        <v>76</v>
      </c>
      <c r="AF37" s="38" t="s">
        <v>77</v>
      </c>
      <c r="AG37" s="37" t="s">
        <v>76</v>
      </c>
      <c r="AH37" s="38" t="s">
        <v>77</v>
      </c>
    </row>
    <row r="38" spans="1:34" ht="15" customHeight="1" thickTop="1" x14ac:dyDescent="0.3">
      <c r="A38" s="212"/>
      <c r="B38" s="318" t="s">
        <v>273</v>
      </c>
      <c r="C38" s="215"/>
      <c r="D38" s="1" t="s">
        <v>68</v>
      </c>
      <c r="E38" s="24">
        <f>COUNTIF($D$27:$D$30,"12 - DPCYT")</f>
        <v>2</v>
      </c>
      <c r="F38" s="11"/>
      <c r="I38" s="383" t="s">
        <v>120</v>
      </c>
      <c r="J38" s="33" t="s">
        <v>11</v>
      </c>
      <c r="K38" s="39" t="str">
        <f>K33</f>
        <v>N/A</v>
      </c>
      <c r="L38" s="40">
        <f>K29</f>
        <v>0</v>
      </c>
      <c r="M38" s="39" t="str">
        <f>M33</f>
        <v>Continental</v>
      </c>
      <c r="N38" s="40">
        <f>M29</f>
        <v>1</v>
      </c>
      <c r="O38" s="39" t="str">
        <f>O33</f>
        <v>N/A</v>
      </c>
      <c r="P38" s="40">
        <f>O29</f>
        <v>0</v>
      </c>
      <c r="Q38" s="39" t="str">
        <f t="shared" ref="Q38:Q40" si="88">Q33</f>
        <v>N/A</v>
      </c>
      <c r="R38" s="40">
        <f t="shared" ref="R38:R40" si="89">Q29</f>
        <v>0</v>
      </c>
      <c r="S38" s="39" t="str">
        <f>S33</f>
        <v>N/A</v>
      </c>
      <c r="T38" s="40">
        <f t="shared" ref="T38:T39" si="90">S29</f>
        <v>0</v>
      </c>
      <c r="U38" s="39" t="str">
        <f t="shared" ref="U38:U40" si="91">U33</f>
        <v>Bacon, Eggs &amp; Sausages</v>
      </c>
      <c r="V38" s="40">
        <f t="shared" ref="V38:V40" si="92">U29</f>
        <v>1</v>
      </c>
      <c r="W38" s="39" t="str">
        <f t="shared" ref="W38:W40" si="93">W33</f>
        <v>Bacon, Eggs &amp; Sausages</v>
      </c>
      <c r="X38" s="40">
        <f t="shared" ref="X38:X40" si="94">W29</f>
        <v>1</v>
      </c>
      <c r="Y38" s="39" t="str">
        <f t="shared" ref="Y38:Y40" si="95">Y33</f>
        <v>Continental</v>
      </c>
      <c r="Z38" s="40">
        <f t="shared" ref="Z38:Z40" si="96">Y29</f>
        <v>1</v>
      </c>
      <c r="AA38" s="39" t="str">
        <f t="shared" ref="AA38:AA40" si="97">AA33</f>
        <v>Continental</v>
      </c>
      <c r="AB38" s="40">
        <f t="shared" ref="AB38:AB40" si="98">AA29</f>
        <v>1</v>
      </c>
      <c r="AC38" s="39" t="str">
        <f t="shared" ref="AC38:AC39" si="99">AC33</f>
        <v>Bacon, Eggs &amp; Sausages</v>
      </c>
      <c r="AD38" s="40">
        <f t="shared" ref="AD38:AD40" si="100">AC29</f>
        <v>1</v>
      </c>
      <c r="AE38" s="39" t="str">
        <f t="shared" ref="AE38:AE40" si="101">AE33</f>
        <v>Continental</v>
      </c>
      <c r="AF38" s="40">
        <f t="shared" ref="AF38:AF40" si="102">AE29</f>
        <v>1</v>
      </c>
      <c r="AG38" s="39" t="str">
        <f t="shared" ref="AG38:AG40" si="103">AG33</f>
        <v>N/A</v>
      </c>
      <c r="AH38" s="40">
        <f t="shared" ref="AH38:AH40" si="104">AG29</f>
        <v>0</v>
      </c>
    </row>
    <row r="39" spans="1:34" ht="15" customHeight="1" thickBot="1" x14ac:dyDescent="0.35">
      <c r="A39" s="212"/>
      <c r="B39" s="319"/>
      <c r="C39" s="215"/>
      <c r="D39" s="1" t="s">
        <v>442</v>
      </c>
      <c r="E39" s="24">
        <f>COUNTIF($D$27:$D$30,"12 - DSCYT")</f>
        <v>0</v>
      </c>
      <c r="F39" s="11"/>
      <c r="I39" s="384"/>
      <c r="J39" s="30" t="s">
        <v>9</v>
      </c>
      <c r="K39" s="39" t="str">
        <f t="shared" ref="K39" si="105">K34</f>
        <v>N/A</v>
      </c>
      <c r="L39" s="40">
        <f t="shared" ref="L39:L40" si="106">K30</f>
        <v>0</v>
      </c>
      <c r="M39" s="39" t="str">
        <f t="shared" ref="M39" si="107">M34</f>
        <v>N/A</v>
      </c>
      <c r="N39" s="40">
        <f t="shared" ref="N39" si="108">M30</f>
        <v>0</v>
      </c>
      <c r="O39" s="39" t="str">
        <f t="shared" ref="O39" si="109">O34</f>
        <v>N/A</v>
      </c>
      <c r="P39" s="40">
        <f t="shared" ref="P39" si="110">O30</f>
        <v>0</v>
      </c>
      <c r="Q39" s="39" t="str">
        <f t="shared" si="88"/>
        <v>Beef Wraps</v>
      </c>
      <c r="R39" s="40">
        <f t="shared" si="89"/>
        <v>1</v>
      </c>
      <c r="S39" s="39" t="str">
        <f t="shared" ref="S39:S40" si="111">S34</f>
        <v>Chicken Wraps</v>
      </c>
      <c r="T39" s="40">
        <f t="shared" si="90"/>
        <v>1</v>
      </c>
      <c r="U39" s="39" t="str">
        <f t="shared" si="91"/>
        <v>Beef Wraps</v>
      </c>
      <c r="V39" s="40">
        <f t="shared" si="92"/>
        <v>1</v>
      </c>
      <c r="W39" s="39" t="str">
        <f t="shared" si="93"/>
        <v>Toasted Chicken Paninis</v>
      </c>
      <c r="X39" s="40">
        <f t="shared" si="94"/>
        <v>1</v>
      </c>
      <c r="Y39" s="39" t="str">
        <f t="shared" si="95"/>
        <v>chickpea curry</v>
      </c>
      <c r="Z39" s="40">
        <f t="shared" si="96"/>
        <v>1</v>
      </c>
      <c r="AA39" s="39" t="str">
        <f t="shared" si="97"/>
        <v>Potato Salad with Chirizo</v>
      </c>
      <c r="AB39" s="40">
        <f t="shared" si="98"/>
        <v>1</v>
      </c>
      <c r="AC39" s="39" t="str">
        <f t="shared" si="99"/>
        <v>N/A</v>
      </c>
      <c r="AD39" s="40">
        <f t="shared" si="100"/>
        <v>0</v>
      </c>
      <c r="AE39" s="39" t="str">
        <f t="shared" si="101"/>
        <v>N/A</v>
      </c>
      <c r="AF39" s="40">
        <f t="shared" si="102"/>
        <v>0</v>
      </c>
      <c r="AG39" s="39" t="str">
        <f t="shared" si="103"/>
        <v>N/A</v>
      </c>
      <c r="AH39" s="40">
        <f t="shared" si="104"/>
        <v>0</v>
      </c>
    </row>
    <row r="40" spans="1:34" ht="16.8" thickTop="1" thickBot="1" x14ac:dyDescent="0.35">
      <c r="A40" s="212"/>
      <c r="B40" s="213"/>
      <c r="C40" s="215"/>
      <c r="D40" s="1" t="s">
        <v>514</v>
      </c>
      <c r="E40" s="24">
        <f>COUNTIF($D$27:$D$30,"9 - DPSYT")</f>
        <v>0</v>
      </c>
      <c r="F40" s="11"/>
      <c r="I40" s="385"/>
      <c r="J40" s="34" t="s">
        <v>1</v>
      </c>
      <c r="K40" s="39" t="str">
        <f>K35</f>
        <v>N/A</v>
      </c>
      <c r="L40" s="42">
        <f t="shared" si="106"/>
        <v>0</v>
      </c>
      <c r="M40" s="41" t="str">
        <f t="shared" ref="M40" si="112">M35</f>
        <v>N/A</v>
      </c>
      <c r="N40" s="42">
        <f t="shared" ref="N40" si="113">M31</f>
        <v>0</v>
      </c>
      <c r="O40" s="41" t="str">
        <f t="shared" ref="O40" si="114">O35</f>
        <v>N/A</v>
      </c>
      <c r="P40" s="42">
        <f t="shared" ref="P40" si="115">O31</f>
        <v>0</v>
      </c>
      <c r="Q40" s="41" t="str">
        <f t="shared" si="88"/>
        <v>N/A</v>
      </c>
      <c r="R40" s="42">
        <f t="shared" si="89"/>
        <v>0</v>
      </c>
      <c r="S40" s="41" t="str">
        <f t="shared" si="111"/>
        <v>Chicken Fried Rice</v>
      </c>
      <c r="T40" s="42">
        <f>S31</f>
        <v>1</v>
      </c>
      <c r="U40" s="41" t="str">
        <f t="shared" si="91"/>
        <v>Beef &amp; soba noodles</v>
      </c>
      <c r="V40" s="42">
        <f t="shared" si="92"/>
        <v>1</v>
      </c>
      <c r="W40" s="41" t="str">
        <f t="shared" si="93"/>
        <v>Pulled Pork Nachos</v>
      </c>
      <c r="X40" s="42">
        <f t="shared" si="94"/>
        <v>1</v>
      </c>
      <c r="Y40" s="41" t="str">
        <f t="shared" si="95"/>
        <v>Spaghetti Bolognese</v>
      </c>
      <c r="Z40" s="42">
        <f t="shared" si="96"/>
        <v>1</v>
      </c>
      <c r="AA40" s="41" t="str">
        <f t="shared" si="97"/>
        <v>N/A</v>
      </c>
      <c r="AB40" s="42">
        <f t="shared" si="98"/>
        <v>0</v>
      </c>
      <c r="AC40" s="41" t="str">
        <f>AC35</f>
        <v>Steak &amp; mash</v>
      </c>
      <c r="AD40" s="42">
        <f t="shared" si="100"/>
        <v>1</v>
      </c>
      <c r="AE40" s="41" t="str">
        <f t="shared" si="101"/>
        <v>N/A</v>
      </c>
      <c r="AF40" s="42">
        <f t="shared" si="102"/>
        <v>0</v>
      </c>
      <c r="AG40" s="41" t="str">
        <f t="shared" si="103"/>
        <v>N/A</v>
      </c>
      <c r="AH40" s="42">
        <f t="shared" si="104"/>
        <v>0</v>
      </c>
    </row>
    <row r="41" spans="1:34" ht="15" customHeight="1" thickTop="1" x14ac:dyDescent="0.3">
      <c r="A41" s="212"/>
      <c r="B41" s="318" t="s">
        <v>274</v>
      </c>
      <c r="C41" s="215"/>
      <c r="D41" s="1" t="s">
        <v>443</v>
      </c>
      <c r="E41" s="24">
        <f>COUNTIF($D$27:$D$30,"9 - DPCYT")</f>
        <v>0</v>
      </c>
      <c r="F41" s="11"/>
    </row>
    <row r="42" spans="1:34" ht="15" customHeight="1" thickBot="1" x14ac:dyDescent="0.35">
      <c r="A42" s="212"/>
      <c r="B42" s="319"/>
      <c r="C42" s="215"/>
      <c r="D42" s="1" t="s">
        <v>69</v>
      </c>
      <c r="E42" s="24">
        <f>COUNTIF($D$27:$D$30,"5 - DTT")</f>
        <v>1</v>
      </c>
      <c r="F42" s="11"/>
    </row>
    <row r="43" spans="1:34" ht="16.8" thickTop="1" thickBot="1" x14ac:dyDescent="0.35">
      <c r="A43" s="212"/>
      <c r="B43" s="213"/>
      <c r="C43" s="215"/>
      <c r="D43" s="1"/>
      <c r="F43" s="11"/>
      <c r="I43" s="380" t="s">
        <v>121</v>
      </c>
      <c r="J43" s="47" t="s">
        <v>66</v>
      </c>
      <c r="K43" s="367">
        <f>IF(K9="Yes",$E$67+$E$68+$E$71,0)</f>
        <v>0</v>
      </c>
      <c r="L43" s="368"/>
      <c r="M43" s="367">
        <f>IF(M9="Yes",$E$67+$E$68+$E$71,0)</f>
        <v>0</v>
      </c>
      <c r="N43" s="368"/>
      <c r="O43" s="367">
        <f>IF(O9="Yes",$E$67+$E$68+$E$69+$E$70+$E$71,0)</f>
        <v>0</v>
      </c>
      <c r="P43" s="368"/>
      <c r="Q43" s="367">
        <f>IF(Q9="Yes",$E$67+$E$68+$E$69+$E$70+$E$71,0)</f>
        <v>0</v>
      </c>
      <c r="R43" s="368"/>
      <c r="S43" s="367">
        <f>IF(S9="Yes",$E$67+$E$68+$E$69+$E$70+$E$71,0)</f>
        <v>0</v>
      </c>
      <c r="T43" s="368"/>
      <c r="U43" s="367">
        <f>IF(U9="Yes",$E$67+$E$68+$E$69+$E$70,0)</f>
        <v>0</v>
      </c>
      <c r="V43" s="368"/>
      <c r="W43" s="367">
        <f t="shared" ref="W43" si="116">IF(W9="Yes",$E$67+$E$68+$E$69+$E$70,0)</f>
        <v>0</v>
      </c>
      <c r="X43" s="368"/>
      <c r="Y43" s="367">
        <f t="shared" ref="Y43" si="117">IF(Y9="Yes",$E$67+$E$68+$E$69+$E$70,0)</f>
        <v>0</v>
      </c>
      <c r="Z43" s="368"/>
      <c r="AA43" s="367">
        <f t="shared" ref="AA43" si="118">IF(AA9="Yes",$E$67+$E$68+$E$69+$E$70,0)</f>
        <v>0</v>
      </c>
      <c r="AB43" s="368"/>
      <c r="AC43" s="367">
        <f t="shared" ref="AC43" si="119">IF(AC9="Yes",$E$67+$E$68+$E$69+$E$70,0)</f>
        <v>0</v>
      </c>
      <c r="AD43" s="368"/>
      <c r="AE43" s="367">
        <f t="shared" ref="AE43" si="120">IF(AE9="Yes",$E$67+$E$68+$E$69+$E$70,0)</f>
        <v>0</v>
      </c>
      <c r="AF43" s="368"/>
      <c r="AG43" s="367">
        <f t="shared" ref="AG43" si="121">IF(AG9="Yes",$E$67+$E$68+$E$69+$E$70,0)</f>
        <v>0</v>
      </c>
      <c r="AH43" s="368"/>
    </row>
    <row r="44" spans="1:34" ht="15.6" customHeight="1" thickTop="1" thickBot="1" x14ac:dyDescent="0.35">
      <c r="A44" s="212"/>
      <c r="B44" s="318" t="s">
        <v>275</v>
      </c>
      <c r="C44" s="215"/>
      <c r="D44" s="1" t="s">
        <v>42</v>
      </c>
      <c r="E44" s="12">
        <f>COUNTIF(E13:E24,"*")</f>
        <v>12</v>
      </c>
      <c r="F44" s="11"/>
      <c r="I44" s="381"/>
      <c r="J44" s="48" t="s">
        <v>67</v>
      </c>
      <c r="K44" s="367">
        <f t="shared" ref="K44:M45" si="122">IF(K10="Yes",$E$67+$E$68+$E$71,0)</f>
        <v>0</v>
      </c>
      <c r="L44" s="368"/>
      <c r="M44" s="367">
        <f t="shared" si="122"/>
        <v>0</v>
      </c>
      <c r="N44" s="368"/>
      <c r="O44" s="367">
        <f t="shared" ref="O44:Q45" si="123">IF(O10="Yes",$E$67+$E$68+$E$69+$E$70+$E$71,0)</f>
        <v>0</v>
      </c>
      <c r="P44" s="368"/>
      <c r="Q44" s="367">
        <f t="shared" si="123"/>
        <v>0</v>
      </c>
      <c r="R44" s="368"/>
      <c r="S44" s="367">
        <f t="shared" ref="S44" si="124">IF(S10="Yes",$E$67+$E$68+$E$69+$E$70+$E$71,0)</f>
        <v>0</v>
      </c>
      <c r="T44" s="368"/>
      <c r="U44" s="367">
        <f t="shared" ref="U44:AG44" si="125">IF(U10="Yes",$E$67+$E$68+$E$69+$E$70,0)</f>
        <v>0</v>
      </c>
      <c r="V44" s="368"/>
      <c r="W44" s="367">
        <f t="shared" si="125"/>
        <v>0</v>
      </c>
      <c r="X44" s="368"/>
      <c r="Y44" s="367">
        <f t="shared" si="125"/>
        <v>0</v>
      </c>
      <c r="Z44" s="368"/>
      <c r="AA44" s="367">
        <f t="shared" si="125"/>
        <v>0</v>
      </c>
      <c r="AB44" s="368"/>
      <c r="AC44" s="367">
        <f t="shared" si="125"/>
        <v>0</v>
      </c>
      <c r="AD44" s="368"/>
      <c r="AE44" s="367">
        <f t="shared" si="125"/>
        <v>0</v>
      </c>
      <c r="AF44" s="368"/>
      <c r="AG44" s="367">
        <f t="shared" si="125"/>
        <v>0</v>
      </c>
      <c r="AH44" s="368"/>
    </row>
    <row r="45" spans="1:34" ht="15.6" customHeight="1" thickTop="1" thickBot="1" x14ac:dyDescent="0.35">
      <c r="A45" s="212"/>
      <c r="B45" s="319"/>
      <c r="C45" s="215"/>
      <c r="D45" s="1" t="s">
        <v>52</v>
      </c>
      <c r="E45" s="12">
        <f>COUNTIF(E27:E30,"*")</f>
        <v>3</v>
      </c>
      <c r="F45" s="11"/>
      <c r="I45" s="382"/>
      <c r="J45" s="49" t="s">
        <v>64</v>
      </c>
      <c r="K45" s="367">
        <f t="shared" si="122"/>
        <v>0</v>
      </c>
      <c r="L45" s="368"/>
      <c r="M45" s="367">
        <f t="shared" si="122"/>
        <v>0</v>
      </c>
      <c r="N45" s="368"/>
      <c r="O45" s="367">
        <f t="shared" si="123"/>
        <v>0</v>
      </c>
      <c r="P45" s="368"/>
      <c r="Q45" s="367">
        <f>IF(Q11="Yes",$E$67+$E$68+$E$69+$E$70+$E$71,0)</f>
        <v>0</v>
      </c>
      <c r="R45" s="368"/>
      <c r="S45" s="367">
        <f>IF(S11="Yes",$E$67+$E$68+$E$69+$E$70,0)</f>
        <v>0</v>
      </c>
      <c r="T45" s="368"/>
      <c r="U45" s="367">
        <f>IF(U11="Yes",$E$67+$E$68+$E$69+$E$70,0)</f>
        <v>0</v>
      </c>
      <c r="V45" s="368"/>
      <c r="W45" s="367">
        <f t="shared" ref="W45" si="126">IF(W11="Yes",$E$67+$E$68+$E$69+$E$70,0)</f>
        <v>0</v>
      </c>
      <c r="X45" s="368"/>
      <c r="Y45" s="367">
        <f t="shared" ref="Y45" si="127">IF(Y11="Yes",$E$67+$E$68+$E$69+$E$70,0)</f>
        <v>0</v>
      </c>
      <c r="Z45" s="368"/>
      <c r="AA45" s="367">
        <f t="shared" ref="AA45" si="128">IF(AA11="Yes",$E$67+$E$68+$E$69+$E$70,0)</f>
        <v>0</v>
      </c>
      <c r="AB45" s="368"/>
      <c r="AC45" s="367">
        <f t="shared" ref="AC45" si="129">IF(AC11="Yes",$E$67+$E$68+$E$69+$E$70,0)</f>
        <v>0</v>
      </c>
      <c r="AD45" s="368"/>
      <c r="AE45" s="367">
        <f t="shared" ref="AE45" si="130">IF(AE11="Yes",$E$67+$E$68+$E$69+$E$70,0)</f>
        <v>0</v>
      </c>
      <c r="AF45" s="368"/>
      <c r="AG45" s="367">
        <f t="shared" ref="AG45" si="131">IF(AG11="Yes",$E$67+$E$68+$E$69+$E$70,0)</f>
        <v>0</v>
      </c>
      <c r="AH45" s="368"/>
    </row>
    <row r="46" spans="1:34" ht="16.8" thickTop="1" thickBot="1" x14ac:dyDescent="0.35">
      <c r="A46" s="212"/>
      <c r="B46" s="213"/>
      <c r="C46" s="215"/>
      <c r="D46" s="1"/>
      <c r="F46" s="11"/>
      <c r="K46" s="35"/>
      <c r="L46" s="36"/>
      <c r="M46" s="35"/>
      <c r="N46" s="36"/>
      <c r="O46" s="35"/>
      <c r="P46" s="36"/>
      <c r="Q46" s="35"/>
      <c r="R46" s="36"/>
      <c r="S46" s="35"/>
      <c r="T46" s="36"/>
      <c r="U46" s="35"/>
      <c r="V46" s="36"/>
      <c r="W46" s="35"/>
      <c r="X46" s="36"/>
      <c r="Y46" s="35"/>
      <c r="Z46" s="36"/>
      <c r="AA46" s="35"/>
      <c r="AB46" s="36"/>
      <c r="AC46" s="35"/>
      <c r="AD46" s="36"/>
      <c r="AE46" s="35"/>
      <c r="AF46" s="36"/>
      <c r="AG46" s="35"/>
      <c r="AH46" s="36"/>
    </row>
    <row r="47" spans="1:34" ht="15" customHeight="1" thickTop="1" x14ac:dyDescent="0.3">
      <c r="A47" s="212"/>
      <c r="B47" s="318" t="s">
        <v>276</v>
      </c>
      <c r="C47" s="215"/>
      <c r="F47" s="11"/>
      <c r="I47" s="380" t="s">
        <v>122</v>
      </c>
      <c r="J47" s="33" t="s">
        <v>72</v>
      </c>
      <c r="K47" s="367" t="str">
        <f>data_formula_legend!E52</f>
        <v>N/A</v>
      </c>
      <c r="L47" s="368"/>
      <c r="M47" s="367" t="str">
        <f>data_formula_legend!F52</f>
        <v>Continental</v>
      </c>
      <c r="N47" s="368"/>
      <c r="O47" s="367" t="str">
        <f>data_formula_legend!G52</f>
        <v>N/A</v>
      </c>
      <c r="P47" s="368"/>
      <c r="Q47" s="367" t="str">
        <f>data_formula_legend!H52</f>
        <v>N/A</v>
      </c>
      <c r="R47" s="368"/>
      <c r="S47" s="367" t="str">
        <f>data_formula_legend!I52</f>
        <v>Continental</v>
      </c>
      <c r="T47" s="368"/>
      <c r="U47" s="367" t="str">
        <f>data_formula_legend!J52</f>
        <v>Bacon, Eggs &amp; Sausages</v>
      </c>
      <c r="V47" s="368"/>
      <c r="W47" s="367" t="str">
        <f>data_formula_legend!K52</f>
        <v>Bacon, Eggs &amp; Sausages</v>
      </c>
      <c r="X47" s="368"/>
      <c r="Y47" s="367" t="str">
        <f>data_formula_legend!L52</f>
        <v>Continental</v>
      </c>
      <c r="Z47" s="368"/>
      <c r="AA47" s="367" t="str">
        <f>data_formula_legend!M52</f>
        <v>Continental</v>
      </c>
      <c r="AB47" s="368"/>
      <c r="AC47" s="367" t="str">
        <f>data_formula_legend!N52</f>
        <v>Bacon, Eggs &amp; Sausages</v>
      </c>
      <c r="AD47" s="368"/>
      <c r="AE47" s="367" t="str">
        <f>data_formula_legend!O52</f>
        <v>Continental</v>
      </c>
      <c r="AF47" s="368"/>
      <c r="AG47" s="367" t="str">
        <f>data_formula_legend!P52</f>
        <v>N/A</v>
      </c>
      <c r="AH47" s="368"/>
    </row>
    <row r="48" spans="1:34" ht="15" customHeight="1" thickBot="1" x14ac:dyDescent="0.35">
      <c r="A48" s="212"/>
      <c r="B48" s="319"/>
      <c r="C48" s="215"/>
      <c r="D48" s="1" t="s">
        <v>98</v>
      </c>
      <c r="E48" s="14">
        <f>COUNTIFS($F$13:$F$24,"nil"&amp;"",$D$13:$D$24,"12 - DPCYT",$F$13:$F$24,"nil")+COUNTIFS($F$27:$F$30,"nil"&amp;"",$D$27:$D$30,"12 - DPCYT",$F$27:$F$30,"nil")</f>
        <v>5</v>
      </c>
      <c r="F48" s="11"/>
      <c r="I48" s="381"/>
      <c r="J48" s="30" t="s">
        <v>73</v>
      </c>
      <c r="K48" s="367" t="str">
        <f>data_formula_legend!E53</f>
        <v>N/A</v>
      </c>
      <c r="L48" s="368"/>
      <c r="M48" s="367" t="str">
        <f>data_formula_legend!F53</f>
        <v>N/A</v>
      </c>
      <c r="N48" s="368"/>
      <c r="O48" s="367" t="str">
        <f>data_formula_legend!G53</f>
        <v>N/A</v>
      </c>
      <c r="P48" s="368"/>
      <c r="Q48" s="367" t="str">
        <f>data_formula_legend!H53</f>
        <v>Beef Wraps</v>
      </c>
      <c r="R48" s="368"/>
      <c r="S48" s="367" t="str">
        <f>data_formula_legend!I53</f>
        <v>Chicken Wraps</v>
      </c>
      <c r="T48" s="368"/>
      <c r="U48" s="367" t="str">
        <f>data_formula_legend!J53</f>
        <v>Beef Wraps</v>
      </c>
      <c r="V48" s="368"/>
      <c r="W48" s="367" t="str">
        <f>data_formula_legend!K53</f>
        <v>Toasted Chicken Paninis</v>
      </c>
      <c r="X48" s="368"/>
      <c r="Y48" s="367" t="str">
        <f>data_formula_legend!L53</f>
        <v>chickpea curry</v>
      </c>
      <c r="Z48" s="368"/>
      <c r="AA48" s="367" t="str">
        <f>data_formula_legend!M53</f>
        <v>Potato Salad with Chirizo</v>
      </c>
      <c r="AB48" s="368"/>
      <c r="AC48" s="367" t="str">
        <f>data_formula_legend!N53</f>
        <v>N/A</v>
      </c>
      <c r="AD48" s="368"/>
      <c r="AE48" s="367" t="str">
        <f>data_formula_legend!O53</f>
        <v>N/A</v>
      </c>
      <c r="AF48" s="368"/>
      <c r="AG48" s="367" t="str">
        <f>data_formula_legend!P53</f>
        <v>N/A</v>
      </c>
      <c r="AH48" s="368"/>
    </row>
    <row r="49" spans="1:34" ht="16.8" thickTop="1" thickBot="1" x14ac:dyDescent="0.35">
      <c r="A49" s="212"/>
      <c r="B49" s="213"/>
      <c r="C49" s="215"/>
      <c r="D49" s="1" t="s">
        <v>439</v>
      </c>
      <c r="E49" s="14">
        <f>COUNTIFS($F$13:$F$24,"nil"&amp;"",$D$13:$D$24,"12 - DSCYT",$F$13:$F$24,"nil")+COUNTIFS($F$27:$F$30,"nil"&amp;"",$D$27:$D$30,"12 - DSCYT",$F$27:$F$30,"nil")</f>
        <v>5</v>
      </c>
      <c r="F49" s="11"/>
      <c r="I49" s="382"/>
      <c r="J49" s="34" t="s">
        <v>74</v>
      </c>
      <c r="K49" s="367" t="str">
        <f>data_formula_legend!E54</f>
        <v>N/A</v>
      </c>
      <c r="L49" s="368"/>
      <c r="M49" s="367" t="str">
        <f>data_formula_legend!F54</f>
        <v>N/A</v>
      </c>
      <c r="N49" s="368"/>
      <c r="O49" s="367" t="str">
        <f>data_formula_legend!G54</f>
        <v>N/A</v>
      </c>
      <c r="P49" s="368"/>
      <c r="Q49" s="367" t="str">
        <f>data_formula_legend!H54</f>
        <v>N/A</v>
      </c>
      <c r="R49" s="368"/>
      <c r="S49" s="367" t="str">
        <f>data_formula_legend!I54</f>
        <v>Chicken Fried Rice</v>
      </c>
      <c r="T49" s="368"/>
      <c r="U49" s="367" t="str">
        <f>data_formula_legend!J54</f>
        <v>Beef &amp; soba noodles</v>
      </c>
      <c r="V49" s="368"/>
      <c r="W49" s="367" t="str">
        <f>data_formula_legend!K54</f>
        <v>Pulled Pork Nachos</v>
      </c>
      <c r="X49" s="368"/>
      <c r="Y49" s="367" t="str">
        <f>data_formula_legend!L54</f>
        <v>Spaghetti Bolognese</v>
      </c>
      <c r="Z49" s="368"/>
      <c r="AA49" s="367" t="str">
        <f>data_formula_legend!M54</f>
        <v>N/A</v>
      </c>
      <c r="AB49" s="368"/>
      <c r="AC49" s="367" t="str">
        <f>data_formula_legend!N54</f>
        <v>Steak &amp; mash</v>
      </c>
      <c r="AD49" s="368"/>
      <c r="AE49" s="367" t="str">
        <f>data_formula_legend!O54</f>
        <v>N/A</v>
      </c>
      <c r="AF49" s="368"/>
      <c r="AG49" s="367" t="str">
        <f>data_formula_legend!P54</f>
        <v>N/A</v>
      </c>
      <c r="AH49" s="368"/>
    </row>
    <row r="50" spans="1:34" ht="15" customHeight="1" thickTop="1" x14ac:dyDescent="0.3">
      <c r="A50" s="212"/>
      <c r="B50" s="318" t="s">
        <v>277</v>
      </c>
      <c r="C50" s="215"/>
      <c r="D50" s="1" t="s">
        <v>99</v>
      </c>
      <c r="E50" s="14">
        <f>COUNTIFS($F$13:$F$24,"nil"&amp;"",$D$13:$D$24,"9 - DPCYT",$F$13:$F$24,"nil")+COUNTIFS($F$27:$F$30,"nil"&amp;"",$D$27:$D$30,"9 - DPCYT",$F$27:$F$30,"nil")</f>
        <v>0</v>
      </c>
      <c r="F50" s="11"/>
      <c r="I50" s="1"/>
      <c r="J50" s="32"/>
      <c r="K50" s="35"/>
      <c r="L50" s="36"/>
      <c r="M50" s="19"/>
      <c r="N50" s="21"/>
      <c r="O50" s="19"/>
      <c r="P50" s="21"/>
      <c r="Q50" s="19"/>
      <c r="R50" s="21"/>
      <c r="S50" s="19"/>
      <c r="T50" s="21"/>
      <c r="U50" s="19"/>
      <c r="V50" s="21"/>
      <c r="W50" s="19"/>
      <c r="X50" s="21"/>
      <c r="Y50" s="19"/>
      <c r="Z50" s="21"/>
      <c r="AA50" s="19"/>
      <c r="AB50" s="21"/>
      <c r="AC50" s="19"/>
      <c r="AD50" s="21"/>
      <c r="AE50" s="19"/>
      <c r="AF50" s="21"/>
      <c r="AG50" s="19"/>
      <c r="AH50" s="21"/>
    </row>
    <row r="51" spans="1:34" ht="15" customHeight="1" thickBot="1" x14ac:dyDescent="0.35">
      <c r="A51" s="212"/>
      <c r="B51" s="319"/>
      <c r="C51" s="215"/>
      <c r="D51" s="1" t="s">
        <v>444</v>
      </c>
      <c r="E51" s="14">
        <f>COUNTIFS($F$13:$F$24,"nil"&amp;"",$D$13:$D$24,"9 - DPSYT",$F$13:$F$24,"nil")+COUNTIFS($F$27:$F$30,"nil"&amp;"",$D$27:$D$30,"9 - DPCYT",$F$27:$F$30,"nil")</f>
        <v>1</v>
      </c>
      <c r="F51" s="11"/>
      <c r="K51" s="37" t="s">
        <v>76</v>
      </c>
      <c r="L51" s="38" t="s">
        <v>77</v>
      </c>
      <c r="M51" s="37" t="s">
        <v>76</v>
      </c>
      <c r="N51" s="38" t="s">
        <v>77</v>
      </c>
      <c r="O51" s="37" t="s">
        <v>76</v>
      </c>
      <c r="P51" s="38" t="s">
        <v>77</v>
      </c>
      <c r="Q51" s="37" t="s">
        <v>76</v>
      </c>
      <c r="R51" s="38" t="s">
        <v>77</v>
      </c>
      <c r="S51" s="37" t="s">
        <v>76</v>
      </c>
      <c r="T51" s="38" t="s">
        <v>77</v>
      </c>
      <c r="U51" s="37" t="s">
        <v>76</v>
      </c>
      <c r="V51" s="38" t="s">
        <v>77</v>
      </c>
      <c r="W51" s="37" t="s">
        <v>76</v>
      </c>
      <c r="X51" s="38" t="s">
        <v>77</v>
      </c>
      <c r="Y51" s="37" t="s">
        <v>76</v>
      </c>
      <c r="Z51" s="38" t="s">
        <v>77</v>
      </c>
      <c r="AA51" s="37" t="s">
        <v>76</v>
      </c>
      <c r="AB51" s="38" t="s">
        <v>77</v>
      </c>
      <c r="AC51" s="37" t="s">
        <v>76</v>
      </c>
      <c r="AD51" s="38" t="s">
        <v>77</v>
      </c>
      <c r="AE51" s="37" t="s">
        <v>76</v>
      </c>
      <c r="AF51" s="38" t="s">
        <v>77</v>
      </c>
      <c r="AG51" s="37" t="s">
        <v>76</v>
      </c>
      <c r="AH51" s="38" t="s">
        <v>77</v>
      </c>
    </row>
    <row r="52" spans="1:34" ht="16.2" thickTop="1" x14ac:dyDescent="0.3">
      <c r="A52" s="212"/>
      <c r="B52" s="213"/>
      <c r="C52" s="215"/>
      <c r="D52" s="1" t="s">
        <v>100</v>
      </c>
      <c r="E52" s="14">
        <f>COUNTIFS($F$13:$F$24,"nil"&amp;"",$D$13:$D$24,"5 - DTT",$F$13:$F$24,"nil")+COUNTIFS($F$27:$F$30,"nil"&amp;"",$D$27:$D$30,"5 - DTT",$F$27:$F$30,"nil")</f>
        <v>3</v>
      </c>
      <c r="F52" s="11"/>
      <c r="I52" s="380" t="s">
        <v>123</v>
      </c>
      <c r="J52" s="33" t="s">
        <v>11</v>
      </c>
      <c r="K52" s="39" t="str">
        <f>K47</f>
        <v>N/A</v>
      </c>
      <c r="L52" s="40">
        <f>K43</f>
        <v>0</v>
      </c>
      <c r="M52" s="39" t="str">
        <f>M47</f>
        <v>Continental</v>
      </c>
      <c r="N52" s="40">
        <f>M43</f>
        <v>0</v>
      </c>
      <c r="O52" s="39" t="str">
        <f>O47</f>
        <v>N/A</v>
      </c>
      <c r="P52" s="40">
        <f>O43</f>
        <v>0</v>
      </c>
      <c r="Q52" s="39" t="str">
        <f t="shared" ref="Q52:Q54" si="132">Q47</f>
        <v>N/A</v>
      </c>
      <c r="R52" s="40">
        <f t="shared" ref="R52:R54" si="133">Q43</f>
        <v>0</v>
      </c>
      <c r="S52" s="39" t="str">
        <f t="shared" ref="S52:S54" si="134">S47</f>
        <v>Continental</v>
      </c>
      <c r="T52" s="40">
        <f t="shared" ref="T52:T54" si="135">S43</f>
        <v>0</v>
      </c>
      <c r="U52" s="39" t="str">
        <f t="shared" ref="U52:U54" si="136">U47</f>
        <v>Bacon, Eggs &amp; Sausages</v>
      </c>
      <c r="V52" s="40">
        <f t="shared" ref="V52:V54" si="137">U43</f>
        <v>0</v>
      </c>
      <c r="W52" s="39" t="str">
        <f t="shared" ref="W52:W54" si="138">W47</f>
        <v>Bacon, Eggs &amp; Sausages</v>
      </c>
      <c r="X52" s="40">
        <f t="shared" ref="X52:X54" si="139">W43</f>
        <v>0</v>
      </c>
      <c r="Y52" s="39" t="str">
        <f t="shared" ref="Y52:Y54" si="140">Y47</f>
        <v>Continental</v>
      </c>
      <c r="Z52" s="40">
        <f t="shared" ref="Z52:Z54" si="141">Y43</f>
        <v>0</v>
      </c>
      <c r="AA52" s="39" t="str">
        <f t="shared" ref="AA52:AA54" si="142">AA47</f>
        <v>Continental</v>
      </c>
      <c r="AB52" s="40">
        <f t="shared" ref="AB52:AB54" si="143">AA43</f>
        <v>0</v>
      </c>
      <c r="AC52" s="39" t="str">
        <f t="shared" ref="AC52:AC54" si="144">AC47</f>
        <v>Bacon, Eggs &amp; Sausages</v>
      </c>
      <c r="AD52" s="40">
        <f t="shared" ref="AD52:AD54" si="145">AC43</f>
        <v>0</v>
      </c>
      <c r="AE52" s="39" t="str">
        <f t="shared" ref="AE52:AE54" si="146">AE47</f>
        <v>Continental</v>
      </c>
      <c r="AF52" s="40">
        <f t="shared" ref="AF52:AF54" si="147">AE43</f>
        <v>0</v>
      </c>
      <c r="AG52" s="39" t="str">
        <f t="shared" ref="AG52:AG54" si="148">AG47</f>
        <v>N/A</v>
      </c>
      <c r="AH52" s="40">
        <f t="shared" ref="AH52:AH54" si="149">AG43</f>
        <v>0</v>
      </c>
    </row>
    <row r="53" spans="1:34" ht="15" customHeight="1" x14ac:dyDescent="0.3">
      <c r="A53" s="212"/>
      <c r="B53" s="213"/>
      <c r="C53" s="215"/>
      <c r="F53" s="11"/>
      <c r="I53" s="381"/>
      <c r="J53" s="30" t="s">
        <v>9</v>
      </c>
      <c r="K53" s="39" t="str">
        <f>K48</f>
        <v>N/A</v>
      </c>
      <c r="L53" s="40">
        <f>K44</f>
        <v>0</v>
      </c>
      <c r="M53" s="39" t="str">
        <f t="shared" ref="M53" si="150">M48</f>
        <v>N/A</v>
      </c>
      <c r="N53" s="40">
        <f t="shared" ref="N53" si="151">M44</f>
        <v>0</v>
      </c>
      <c r="O53" s="39" t="str">
        <f t="shared" ref="O53" si="152">O48</f>
        <v>N/A</v>
      </c>
      <c r="P53" s="40">
        <f t="shared" ref="P53" si="153">O44</f>
        <v>0</v>
      </c>
      <c r="Q53" s="39" t="str">
        <f t="shared" si="132"/>
        <v>Beef Wraps</v>
      </c>
      <c r="R53" s="40">
        <f t="shared" si="133"/>
        <v>0</v>
      </c>
      <c r="S53" s="39" t="str">
        <f t="shared" si="134"/>
        <v>Chicken Wraps</v>
      </c>
      <c r="T53" s="40">
        <f t="shared" si="135"/>
        <v>0</v>
      </c>
      <c r="U53" s="39" t="str">
        <f t="shared" si="136"/>
        <v>Beef Wraps</v>
      </c>
      <c r="V53" s="40">
        <f t="shared" si="137"/>
        <v>0</v>
      </c>
      <c r="W53" s="39" t="str">
        <f t="shared" si="138"/>
        <v>Toasted Chicken Paninis</v>
      </c>
      <c r="X53" s="40">
        <f t="shared" si="139"/>
        <v>0</v>
      </c>
      <c r="Y53" s="39" t="str">
        <f t="shared" si="140"/>
        <v>chickpea curry</v>
      </c>
      <c r="Z53" s="40">
        <f t="shared" si="141"/>
        <v>0</v>
      </c>
      <c r="AA53" s="39" t="str">
        <f t="shared" si="142"/>
        <v>Potato Salad with Chirizo</v>
      </c>
      <c r="AB53" s="40">
        <f t="shared" si="143"/>
        <v>0</v>
      </c>
      <c r="AC53" s="39" t="str">
        <f t="shared" si="144"/>
        <v>N/A</v>
      </c>
      <c r="AD53" s="40">
        <f t="shared" si="145"/>
        <v>0</v>
      </c>
      <c r="AE53" s="39" t="str">
        <f t="shared" si="146"/>
        <v>N/A</v>
      </c>
      <c r="AF53" s="40">
        <f t="shared" si="147"/>
        <v>0</v>
      </c>
      <c r="AG53" s="39" t="str">
        <f t="shared" si="148"/>
        <v>N/A</v>
      </c>
      <c r="AH53" s="40">
        <f t="shared" si="149"/>
        <v>0</v>
      </c>
    </row>
    <row r="54" spans="1:34" ht="15" customHeight="1" thickBot="1" x14ac:dyDescent="0.35">
      <c r="A54" s="212"/>
      <c r="B54" s="231"/>
      <c r="C54" s="215"/>
      <c r="F54" s="11"/>
      <c r="I54" s="382"/>
      <c r="J54" s="34" t="s">
        <v>1</v>
      </c>
      <c r="K54" s="41" t="str">
        <f>K49</f>
        <v>N/A</v>
      </c>
      <c r="L54" s="42">
        <f>K45</f>
        <v>0</v>
      </c>
      <c r="M54" s="41" t="str">
        <f t="shared" ref="M54" si="154">M49</f>
        <v>N/A</v>
      </c>
      <c r="N54" s="42">
        <f t="shared" ref="N54" si="155">M45</f>
        <v>0</v>
      </c>
      <c r="O54" s="41" t="str">
        <f t="shared" ref="O54" si="156">O49</f>
        <v>N/A</v>
      </c>
      <c r="P54" s="42">
        <f t="shared" ref="P54" si="157">O45</f>
        <v>0</v>
      </c>
      <c r="Q54" s="41" t="str">
        <f t="shared" si="132"/>
        <v>N/A</v>
      </c>
      <c r="R54" s="42">
        <f t="shared" si="133"/>
        <v>0</v>
      </c>
      <c r="S54" s="41" t="str">
        <f t="shared" si="134"/>
        <v>Chicken Fried Rice</v>
      </c>
      <c r="T54" s="42">
        <f t="shared" si="135"/>
        <v>0</v>
      </c>
      <c r="U54" s="41" t="str">
        <f t="shared" si="136"/>
        <v>Beef &amp; soba noodles</v>
      </c>
      <c r="V54" s="42">
        <f t="shared" si="137"/>
        <v>0</v>
      </c>
      <c r="W54" s="41" t="str">
        <f t="shared" si="138"/>
        <v>Pulled Pork Nachos</v>
      </c>
      <c r="X54" s="42">
        <f t="shared" si="139"/>
        <v>0</v>
      </c>
      <c r="Y54" s="41" t="str">
        <f t="shared" si="140"/>
        <v>Spaghetti Bolognese</v>
      </c>
      <c r="Z54" s="42">
        <f t="shared" si="141"/>
        <v>0</v>
      </c>
      <c r="AA54" s="41" t="str">
        <f t="shared" si="142"/>
        <v>N/A</v>
      </c>
      <c r="AB54" s="42">
        <f t="shared" si="143"/>
        <v>0</v>
      </c>
      <c r="AC54" s="41" t="str">
        <f t="shared" si="144"/>
        <v>Steak &amp; mash</v>
      </c>
      <c r="AD54" s="42">
        <f t="shared" si="145"/>
        <v>0</v>
      </c>
      <c r="AE54" s="41" t="str">
        <f t="shared" si="146"/>
        <v>N/A</v>
      </c>
      <c r="AF54" s="42">
        <f t="shared" si="147"/>
        <v>0</v>
      </c>
      <c r="AG54" s="41" t="str">
        <f t="shared" si="148"/>
        <v>N/A</v>
      </c>
      <c r="AH54" s="42">
        <f t="shared" si="149"/>
        <v>0</v>
      </c>
    </row>
    <row r="55" spans="1:34" s="11" customFormat="1" x14ac:dyDescent="0.3">
      <c r="A55" s="212"/>
      <c r="B55" s="231"/>
      <c r="C55" s="215"/>
      <c r="D55" s="26" t="s">
        <v>101</v>
      </c>
      <c r="E55" s="14">
        <f>COUNTIFS($F$13:$F$24,"celiac"&amp;"",$D$13:$D$24,"12 - DPCYT",$F$13:$F$24,"celiac")+COUNTIFS($F$27:$F$30,"celiac"&amp;"",$D$27:$D$30,"12 - DPCYT",$F$27:$F$30,"celiac")</f>
        <v>0</v>
      </c>
    </row>
    <row r="56" spans="1:34" s="11" customFormat="1" x14ac:dyDescent="0.3">
      <c r="A56" s="212"/>
      <c r="B56" s="213"/>
      <c r="C56" s="215"/>
      <c r="D56" s="26" t="s">
        <v>440</v>
      </c>
      <c r="E56" s="14">
        <f>COUNTIFS($F$13:$F$24,"celiac"&amp;"",$D$13:$D$24,"12 - DSCYT",$F$13:$F$24,"celiac")+COUNTIFS($F$27:$F$30,"celiac"&amp;"",$D$27:$D$30,"12 - DSCYT",$F$27:$F$30,"celiac")</f>
        <v>1</v>
      </c>
    </row>
    <row r="57" spans="1:34" s="11" customFormat="1" x14ac:dyDescent="0.3">
      <c r="A57" s="212"/>
      <c r="B57" s="213"/>
      <c r="C57" s="215"/>
      <c r="D57" s="26" t="s">
        <v>102</v>
      </c>
      <c r="E57" s="14">
        <f>COUNTIFS($F$13:$F$24,"celiac"&amp;"",$D$13:$D$24,"9 - DPCYT",$F$13:$F$24,"celiac")+COUNTIFS($F$27:$F$30,"celiac"&amp;"",$D$27:$D$30,"9 - DPCYT",$F$27:$F$30,"celiac")</f>
        <v>0</v>
      </c>
      <c r="I57" s="377" t="s">
        <v>124</v>
      </c>
      <c r="J57" s="47" t="s">
        <v>66</v>
      </c>
      <c r="K57" s="367">
        <f>IF(K9="Yes",$E$67+$E$68+$E$71,0)</f>
        <v>0</v>
      </c>
      <c r="L57" s="368"/>
      <c r="M57" s="367">
        <f>IF(M9="Yes",$E$67+$E$68+$E$71,0)</f>
        <v>0</v>
      </c>
      <c r="N57" s="368"/>
      <c r="O57" s="367">
        <f>IF(O9="Yes",$E$67+$E$68+$E$69+$E$70+$E$71,0)</f>
        <v>0</v>
      </c>
      <c r="P57" s="368"/>
      <c r="Q57" s="367">
        <f>IF(Q9="Yes",$E$67+$E$68+$E$69+$E$70+$E$71,0)</f>
        <v>0</v>
      </c>
      <c r="R57" s="368"/>
      <c r="S57" s="367">
        <f>IF(S9="Yes",$E$67+$E$68+$E$69+$E$70+$E$71,0)</f>
        <v>0</v>
      </c>
      <c r="T57" s="368"/>
      <c r="U57" s="367">
        <f t="shared" ref="U57:AG58" si="158">IF(U9="Yes",$E$67+$E$68+$E$69+$E$70,0)</f>
        <v>0</v>
      </c>
      <c r="V57" s="368"/>
      <c r="W57" s="367">
        <f t="shared" si="158"/>
        <v>0</v>
      </c>
      <c r="X57" s="368"/>
      <c r="Y57" s="367">
        <f t="shared" si="158"/>
        <v>0</v>
      </c>
      <c r="Z57" s="368"/>
      <c r="AA57" s="367">
        <f t="shared" si="158"/>
        <v>0</v>
      </c>
      <c r="AB57" s="368"/>
      <c r="AC57" s="367">
        <f t="shared" si="158"/>
        <v>0</v>
      </c>
      <c r="AD57" s="368"/>
      <c r="AE57" s="367">
        <f t="shared" si="158"/>
        <v>0</v>
      </c>
      <c r="AF57" s="368"/>
      <c r="AG57" s="367">
        <f t="shared" si="158"/>
        <v>0</v>
      </c>
      <c r="AH57" s="368"/>
    </row>
    <row r="58" spans="1:34" s="11" customFormat="1" x14ac:dyDescent="0.3">
      <c r="A58" s="212"/>
      <c r="B58" s="213"/>
      <c r="C58" s="215"/>
      <c r="D58" s="26" t="s">
        <v>445</v>
      </c>
      <c r="E58" s="14">
        <f>COUNTIFS($F$13:$F$24,"celiac"&amp;"",$D$13:$D$24,"9 - DPSYT",$F$13:$F$24,"celiac")+COUNTIFS($F$27:$F$30,"celiac"&amp;"",$D$27:$D$30,"9 - DPCYT",$F$27:$F$30,"celiac")</f>
        <v>0</v>
      </c>
      <c r="I58" s="378"/>
      <c r="J58" s="48" t="s">
        <v>67</v>
      </c>
      <c r="K58" s="367">
        <f t="shared" ref="K58:K59" si="159">IF(K10="Yes",$E$67+$E$68+$E$71,0)</f>
        <v>0</v>
      </c>
      <c r="L58" s="368"/>
      <c r="M58" s="367">
        <f t="shared" ref="M58:M59" si="160">IF(M10="Yes",$E$67+$E$68+$E$71,0)</f>
        <v>0</v>
      </c>
      <c r="N58" s="368"/>
      <c r="O58" s="367">
        <f t="shared" ref="O58:O59" si="161">IF(O10="Yes",$E$67+$E$68+$E$69+$E$70+$E$71,0)</f>
        <v>0</v>
      </c>
      <c r="P58" s="368"/>
      <c r="Q58" s="367">
        <f t="shared" ref="Q58:Q59" si="162">IF(Q10="Yes",$E$67+$E$68+$E$69+$E$70+$E$71,0)</f>
        <v>0</v>
      </c>
      <c r="R58" s="368"/>
      <c r="S58" s="367">
        <f>IF(S10="Yes",$E$67+$E$68+$E$69+$E$70+$E$71,0)</f>
        <v>0</v>
      </c>
      <c r="T58" s="368"/>
      <c r="U58" s="367">
        <f t="shared" si="158"/>
        <v>0</v>
      </c>
      <c r="V58" s="368"/>
      <c r="W58" s="367">
        <f t="shared" si="158"/>
        <v>0</v>
      </c>
      <c r="X58" s="368"/>
      <c r="Y58" s="367">
        <f t="shared" si="158"/>
        <v>0</v>
      </c>
      <c r="Z58" s="368"/>
      <c r="AA58" s="367">
        <f t="shared" si="158"/>
        <v>0</v>
      </c>
      <c r="AB58" s="368"/>
      <c r="AC58" s="367">
        <f t="shared" si="158"/>
        <v>0</v>
      </c>
      <c r="AD58" s="368"/>
      <c r="AE58" s="367">
        <f t="shared" si="158"/>
        <v>0</v>
      </c>
      <c r="AF58" s="368"/>
      <c r="AG58" s="367">
        <f t="shared" si="158"/>
        <v>0</v>
      </c>
      <c r="AH58" s="368"/>
    </row>
    <row r="59" spans="1:34" s="11" customFormat="1" x14ac:dyDescent="0.3">
      <c r="A59" s="212"/>
      <c r="B59" s="213"/>
      <c r="C59" s="215"/>
      <c r="D59" s="26" t="s">
        <v>103</v>
      </c>
      <c r="E59" s="14">
        <f>COUNTIFS($F$13:$F$24,"celiac"&amp;"",$D$13:$D$24,"5 - DTT",$F$13:$F$24,"celiac")+COUNTIFS($F$27:$F$30,"celiac"&amp;"",$D$27:$D$30,"5 - DTT",$F$27:$F$30,"celiac")</f>
        <v>0</v>
      </c>
      <c r="I59" s="379"/>
      <c r="J59" s="49" t="s">
        <v>64</v>
      </c>
      <c r="K59" s="367">
        <f t="shared" si="159"/>
        <v>0</v>
      </c>
      <c r="L59" s="368"/>
      <c r="M59" s="367">
        <f t="shared" si="160"/>
        <v>0</v>
      </c>
      <c r="N59" s="368"/>
      <c r="O59" s="367">
        <f t="shared" si="161"/>
        <v>0</v>
      </c>
      <c r="P59" s="368"/>
      <c r="Q59" s="367">
        <f t="shared" si="162"/>
        <v>0</v>
      </c>
      <c r="R59" s="368"/>
      <c r="S59" s="367">
        <f>IF(S11="Yes",$E$67+$E$68+$E$69+$E$70,0)</f>
        <v>0</v>
      </c>
      <c r="T59" s="368"/>
      <c r="U59" s="367">
        <f>IF(U11="Yes",$E$67+$E$68+$E$69+$E$70,0)</f>
        <v>0</v>
      </c>
      <c r="V59" s="368"/>
      <c r="W59" s="367">
        <f t="shared" ref="W59" si="163">IF(W11="Yes",$E$67+$E$68+$E$69+$E$70,0)</f>
        <v>0</v>
      </c>
      <c r="X59" s="368"/>
      <c r="Y59" s="367">
        <f t="shared" ref="Y59" si="164">IF(Y11="Yes",$E$67+$E$68+$E$69+$E$70,0)</f>
        <v>0</v>
      </c>
      <c r="Z59" s="368"/>
      <c r="AA59" s="367">
        <f t="shared" ref="AA59" si="165">IF(AA11="Yes",$E$67+$E$68+$E$69+$E$70,0)</f>
        <v>0</v>
      </c>
      <c r="AB59" s="368"/>
      <c r="AC59" s="367">
        <f t="shared" ref="AC59" si="166">IF(AC11="Yes",$E$67+$E$68+$E$69+$E$70,0)</f>
        <v>0</v>
      </c>
      <c r="AD59" s="368"/>
      <c r="AE59" s="367">
        <f t="shared" ref="AE59" si="167">IF(AE11="Yes",$E$67+$E$68+$E$69+$E$70,0)</f>
        <v>0</v>
      </c>
      <c r="AF59" s="368"/>
      <c r="AG59" s="367">
        <f t="shared" ref="AG59" si="168">IF(AG11="Yes",$E$67+$E$68+$E$69+$E$70,0)</f>
        <v>0</v>
      </c>
      <c r="AH59" s="368"/>
    </row>
    <row r="60" spans="1:34" x14ac:dyDescent="0.3">
      <c r="A60" s="212"/>
      <c r="B60" s="213"/>
      <c r="C60" s="215"/>
      <c r="F60" s="11"/>
      <c r="H60" s="11"/>
      <c r="K60" s="35"/>
      <c r="L60" s="36"/>
      <c r="M60" s="35"/>
      <c r="N60" s="36"/>
      <c r="O60" s="35"/>
      <c r="P60" s="36"/>
      <c r="Q60" s="35"/>
      <c r="R60" s="36"/>
      <c r="S60" s="35"/>
      <c r="T60" s="36"/>
      <c r="U60" s="35"/>
      <c r="V60" s="36"/>
      <c r="W60" s="35"/>
      <c r="X60" s="36"/>
      <c r="Y60" s="35"/>
      <c r="Z60" s="36"/>
      <c r="AA60" s="35"/>
      <c r="AB60" s="36"/>
      <c r="AC60" s="35"/>
      <c r="AD60" s="36"/>
      <c r="AE60" s="35"/>
      <c r="AF60" s="36"/>
      <c r="AG60" s="35"/>
      <c r="AH60" s="36"/>
    </row>
    <row r="61" spans="1:34" x14ac:dyDescent="0.3">
      <c r="A61" s="212"/>
      <c r="B61" s="213"/>
      <c r="C61" s="215"/>
      <c r="D61" s="26" t="s">
        <v>105</v>
      </c>
      <c r="E61" s="14">
        <f>COUNTIFS($F$13:$F$24,"lactose intolerance"&amp;"",$D$13:$D$24,"12 - DPCYT",$F$13:$F$24,"lactose intolerance")+COUNTIFS($F$27:$F$30,"lactose intolerance"&amp;"",$D$27:$D$30,"12 - DPCYT",$F$27:$F$30,"lactose intolerance")</f>
        <v>0</v>
      </c>
      <c r="F61" s="11"/>
      <c r="H61" s="11"/>
      <c r="I61" s="377" t="s">
        <v>125</v>
      </c>
      <c r="J61" s="33" t="s">
        <v>72</v>
      </c>
      <c r="K61" s="367" t="str">
        <f>data_formula_legend!E58</f>
        <v>N/A</v>
      </c>
      <c r="L61" s="368"/>
      <c r="M61" s="367" t="str">
        <f>data_formula_legend!F58</f>
        <v>Continental</v>
      </c>
      <c r="N61" s="368"/>
      <c r="O61" s="367" t="str">
        <f>data_formula_legend!G58</f>
        <v>N/A</v>
      </c>
      <c r="P61" s="368"/>
      <c r="Q61" s="367" t="str">
        <f>data_formula_legend!H58</f>
        <v>N/A</v>
      </c>
      <c r="R61" s="368"/>
      <c r="S61" s="367" t="str">
        <f>data_formula_legend!I58</f>
        <v>Continental</v>
      </c>
      <c r="T61" s="368"/>
      <c r="U61" s="367" t="str">
        <f>data_formula_legend!J58</f>
        <v>Bacon, Eggs &amp; Sausages</v>
      </c>
      <c r="V61" s="368"/>
      <c r="W61" s="367" t="str">
        <f>data_formula_legend!K58</f>
        <v>Bacon, Eggs &amp; Sausages</v>
      </c>
      <c r="X61" s="368"/>
      <c r="Y61" s="367" t="str">
        <f>data_formula_legend!L58</f>
        <v>Continental</v>
      </c>
      <c r="Z61" s="368"/>
      <c r="AA61" s="367" t="str">
        <f>data_formula_legend!M58</f>
        <v>Continental</v>
      </c>
      <c r="AB61" s="368"/>
      <c r="AC61" s="367" t="str">
        <f>data_formula_legend!N58</f>
        <v>Bacon, Eggs &amp; Sausages</v>
      </c>
      <c r="AD61" s="368"/>
      <c r="AE61" s="367" t="str">
        <f>data_formula_legend!O58</f>
        <v>Continental</v>
      </c>
      <c r="AF61" s="368"/>
      <c r="AG61" s="367" t="str">
        <f>data_formula_legend!P58</f>
        <v>N/A</v>
      </c>
      <c r="AH61" s="368"/>
    </row>
    <row r="62" spans="1:34" x14ac:dyDescent="0.3">
      <c r="A62" s="212"/>
      <c r="B62" s="213"/>
      <c r="C62" s="215"/>
      <c r="D62" s="26" t="s">
        <v>446</v>
      </c>
      <c r="E62" s="14">
        <f>COUNTIFS($F$13:$F$24,"lactose intolerance"&amp;"",$D$13:$D$24,"12 - DSCYT",$F$13:$F$24,"lactose intolerance")+COUNTIFS($F$27:$F$30,"lactose intolerance"&amp;"",$D$27:$D$30,"12 - DSCYT",$F$27:$F$30,"lactose intolerance")</f>
        <v>0</v>
      </c>
      <c r="F62" s="11"/>
      <c r="H62" s="11"/>
      <c r="I62" s="378"/>
      <c r="J62" s="30" t="s">
        <v>73</v>
      </c>
      <c r="K62" s="367" t="str">
        <f>data_formula_legend!E59</f>
        <v>N/A</v>
      </c>
      <c r="L62" s="368"/>
      <c r="M62" s="367" t="str">
        <f>data_formula_legend!F59</f>
        <v>N/A</v>
      </c>
      <c r="N62" s="368"/>
      <c r="O62" s="367" t="str">
        <f>data_formula_legend!G59</f>
        <v>N/A</v>
      </c>
      <c r="P62" s="368"/>
      <c r="Q62" s="367" t="str">
        <f>data_formula_legend!H59</f>
        <v>Beef Wraps</v>
      </c>
      <c r="R62" s="368"/>
      <c r="S62" s="367" t="str">
        <f>data_formula_legend!I59</f>
        <v>Chicken Wraps</v>
      </c>
      <c r="T62" s="368"/>
      <c r="U62" s="367" t="str">
        <f>data_formula_legend!J59</f>
        <v>Beef Wraps</v>
      </c>
      <c r="V62" s="368"/>
      <c r="W62" s="367" t="str">
        <f>data_formula_legend!K59</f>
        <v>Toasted Chicken Paninis</v>
      </c>
      <c r="X62" s="368"/>
      <c r="Y62" s="367" t="str">
        <f>data_formula_legend!L59</f>
        <v>chickpea curry</v>
      </c>
      <c r="Z62" s="368"/>
      <c r="AA62" s="367" t="str">
        <f>data_formula_legend!M59</f>
        <v>Potato Salad with Chirizo</v>
      </c>
      <c r="AB62" s="368"/>
      <c r="AC62" s="367" t="str">
        <f>data_formula_legend!N59</f>
        <v>N/A</v>
      </c>
      <c r="AD62" s="368"/>
      <c r="AE62" s="367" t="str">
        <f>data_formula_legend!O59</f>
        <v>N/A</v>
      </c>
      <c r="AF62" s="368"/>
      <c r="AG62" s="367" t="str">
        <f>data_formula_legend!P59</f>
        <v>N/A</v>
      </c>
      <c r="AH62" s="368"/>
    </row>
    <row r="63" spans="1:34" x14ac:dyDescent="0.3">
      <c r="A63" s="212"/>
      <c r="B63" s="213"/>
      <c r="C63" s="215"/>
      <c r="D63" s="26" t="s">
        <v>106</v>
      </c>
      <c r="E63" s="14">
        <f>COUNTIFS($F$13:$F$24,"lactose intolerance"&amp;"",$D$13:$D$24,"9 - DPCYT",$F$13:$F$24,"lactose intolerance")+COUNTIFS($F$27:$F$30,"lactose intolerance"&amp;"",$D$27:$D$30,"9 - DPCYT",$F$27:$F$30,"lactose intolerance")</f>
        <v>0</v>
      </c>
      <c r="F63" s="11"/>
      <c r="H63" s="11"/>
      <c r="I63" s="379"/>
      <c r="J63" s="34" t="s">
        <v>74</v>
      </c>
      <c r="K63" s="367" t="str">
        <f>data_formula_legend!E60</f>
        <v>N/A</v>
      </c>
      <c r="L63" s="368"/>
      <c r="M63" s="367" t="str">
        <f>data_formula_legend!F60</f>
        <v>N/A</v>
      </c>
      <c r="N63" s="368"/>
      <c r="O63" s="367" t="str">
        <f>data_formula_legend!G60</f>
        <v>N/A</v>
      </c>
      <c r="P63" s="368"/>
      <c r="Q63" s="367" t="str">
        <f>data_formula_legend!H60</f>
        <v>N/A</v>
      </c>
      <c r="R63" s="368"/>
      <c r="S63" s="367" t="str">
        <f>data_formula_legend!I60</f>
        <v>Chicken Fried Rice</v>
      </c>
      <c r="T63" s="368"/>
      <c r="U63" s="367" t="str">
        <f>data_formula_legend!J60</f>
        <v>Beef &amp; soba noodles</v>
      </c>
      <c r="V63" s="368"/>
      <c r="W63" s="367" t="str">
        <f>data_formula_legend!K60</f>
        <v>Pulled Pork Nachos</v>
      </c>
      <c r="X63" s="368"/>
      <c r="Y63" s="367" t="str">
        <f>data_formula_legend!L60</f>
        <v>Spaghetti Bolognese</v>
      </c>
      <c r="Z63" s="368"/>
      <c r="AA63" s="367" t="str">
        <f>data_formula_legend!M60</f>
        <v>N/A</v>
      </c>
      <c r="AB63" s="368"/>
      <c r="AC63" s="367" t="str">
        <f>data_formula_legend!N60</f>
        <v>Steak &amp; mash</v>
      </c>
      <c r="AD63" s="368"/>
      <c r="AE63" s="367" t="str">
        <f>data_formula_legend!O60</f>
        <v>N/A</v>
      </c>
      <c r="AF63" s="368"/>
      <c r="AG63" s="367" t="str">
        <f>data_formula_legend!P60</f>
        <v>N/A</v>
      </c>
      <c r="AH63" s="368"/>
    </row>
    <row r="64" spans="1:34" x14ac:dyDescent="0.3">
      <c r="A64" s="212"/>
      <c r="B64" s="213"/>
      <c r="C64" s="215"/>
      <c r="D64" s="26" t="s">
        <v>447</v>
      </c>
      <c r="E64" s="14">
        <f>COUNTIFS($F$13:$F$24,"lactose intolerance"&amp;"",$D$13:$D$24,"9 - DPSYT",$F$13:$F$24,"lactose intolerance")+COUNTIFS($F$27:$F$30,"lactose intolerance"&amp;"",$D$27:$D$30,"9 - DPCYT",$F$27:$F$30,"lactose intolerance")</f>
        <v>0</v>
      </c>
      <c r="F64" s="11"/>
      <c r="H64" s="11"/>
      <c r="I64" s="1"/>
      <c r="J64" s="32"/>
      <c r="K64" s="35"/>
      <c r="L64" s="36"/>
      <c r="M64" s="19"/>
      <c r="N64" s="21"/>
      <c r="O64" s="19"/>
      <c r="P64" s="21"/>
      <c r="Q64" s="19"/>
      <c r="R64" s="21"/>
      <c r="S64" s="19"/>
      <c r="T64" s="21"/>
      <c r="U64" s="19"/>
      <c r="V64" s="21"/>
      <c r="W64" s="19"/>
      <c r="X64" s="21"/>
      <c r="Y64" s="19"/>
      <c r="Z64" s="21"/>
      <c r="AA64" s="19"/>
      <c r="AB64" s="21"/>
      <c r="AC64" s="19"/>
      <c r="AD64" s="21"/>
      <c r="AE64" s="19"/>
      <c r="AF64" s="21"/>
      <c r="AG64" s="19"/>
      <c r="AH64" s="21"/>
    </row>
    <row r="65" spans="1:34" x14ac:dyDescent="0.3">
      <c r="A65" s="212"/>
      <c r="B65" s="213"/>
      <c r="C65" s="215"/>
      <c r="D65" s="26" t="s">
        <v>107</v>
      </c>
      <c r="E65" s="14">
        <f>COUNTIFS($F$13:$F$24,"lactose intolerance"&amp;"",$D$13:$D$24,"5 - DTT",$F$13:$F$24,"lactose intolerance")+COUNTIFS($F$27:$F$30,"lactose intolerance"&amp;"",$D$27:$D$30,"5 - DTT",$F$27:$F$30,"lactose intolerance")</f>
        <v>0</v>
      </c>
      <c r="F65" s="11"/>
      <c r="H65" s="11"/>
      <c r="K65" s="37" t="s">
        <v>76</v>
      </c>
      <c r="L65" s="38" t="s">
        <v>77</v>
      </c>
      <c r="M65" s="37" t="s">
        <v>76</v>
      </c>
      <c r="N65" s="38" t="s">
        <v>77</v>
      </c>
      <c r="O65" s="37" t="s">
        <v>76</v>
      </c>
      <c r="P65" s="38" t="s">
        <v>77</v>
      </c>
      <c r="Q65" s="37" t="s">
        <v>76</v>
      </c>
      <c r="R65" s="38" t="s">
        <v>77</v>
      </c>
      <c r="S65" s="37" t="s">
        <v>76</v>
      </c>
      <c r="T65" s="38" t="s">
        <v>77</v>
      </c>
      <c r="U65" s="37" t="s">
        <v>76</v>
      </c>
      <c r="V65" s="38" t="s">
        <v>77</v>
      </c>
      <c r="W65" s="37" t="s">
        <v>76</v>
      </c>
      <c r="X65" s="38" t="s">
        <v>77</v>
      </c>
      <c r="Y65" s="37" t="s">
        <v>76</v>
      </c>
      <c r="Z65" s="38" t="s">
        <v>77</v>
      </c>
      <c r="AA65" s="37" t="s">
        <v>76</v>
      </c>
      <c r="AB65" s="38" t="s">
        <v>77</v>
      </c>
      <c r="AC65" s="37" t="s">
        <v>76</v>
      </c>
      <c r="AD65" s="38" t="s">
        <v>77</v>
      </c>
      <c r="AE65" s="37" t="s">
        <v>76</v>
      </c>
      <c r="AF65" s="38" t="s">
        <v>77</v>
      </c>
      <c r="AG65" s="37" t="s">
        <v>76</v>
      </c>
      <c r="AH65" s="38" t="s">
        <v>77</v>
      </c>
    </row>
    <row r="66" spans="1:34" x14ac:dyDescent="0.3">
      <c r="A66" s="212"/>
      <c r="B66" s="213"/>
      <c r="C66" s="215"/>
      <c r="F66" s="11"/>
      <c r="H66" s="11"/>
      <c r="I66" s="377" t="s">
        <v>126</v>
      </c>
      <c r="J66" s="33" t="s">
        <v>11</v>
      </c>
      <c r="K66" s="39" t="str">
        <f>K61</f>
        <v>N/A</v>
      </c>
      <c r="L66" s="40">
        <f>K57</f>
        <v>0</v>
      </c>
      <c r="M66" s="39" t="str">
        <f>M61</f>
        <v>Continental</v>
      </c>
      <c r="N66" s="40">
        <f>M57</f>
        <v>0</v>
      </c>
      <c r="O66" s="39" t="str">
        <f>O61</f>
        <v>N/A</v>
      </c>
      <c r="P66" s="40">
        <f>O57</f>
        <v>0</v>
      </c>
      <c r="Q66" s="39" t="str">
        <f t="shared" ref="Q66:Q68" si="169">Q61</f>
        <v>N/A</v>
      </c>
      <c r="R66" s="40">
        <f t="shared" ref="R66:R68" si="170">Q57</f>
        <v>0</v>
      </c>
      <c r="S66" s="39" t="str">
        <f t="shared" ref="S66:S68" si="171">S61</f>
        <v>Continental</v>
      </c>
      <c r="T66" s="40">
        <f t="shared" ref="T66:T68" si="172">S57</f>
        <v>0</v>
      </c>
      <c r="U66" s="39" t="str">
        <f t="shared" ref="U66:U68" si="173">U61</f>
        <v>Bacon, Eggs &amp; Sausages</v>
      </c>
      <c r="V66" s="40">
        <f t="shared" ref="V66:V68" si="174">U57</f>
        <v>0</v>
      </c>
      <c r="W66" s="39" t="str">
        <f t="shared" ref="W66:W68" si="175">W61</f>
        <v>Bacon, Eggs &amp; Sausages</v>
      </c>
      <c r="X66" s="40">
        <f t="shared" ref="X66:X68" si="176">W57</f>
        <v>0</v>
      </c>
      <c r="Y66" s="39" t="str">
        <f t="shared" ref="Y66:Y68" si="177">Y61</f>
        <v>Continental</v>
      </c>
      <c r="Z66" s="40">
        <f t="shared" ref="Z66:Z68" si="178">Y57</f>
        <v>0</v>
      </c>
      <c r="AA66" s="39" t="str">
        <f t="shared" ref="AA66:AA68" si="179">AA61</f>
        <v>Continental</v>
      </c>
      <c r="AB66" s="40">
        <f t="shared" ref="AB66:AB68" si="180">AA57</f>
        <v>0</v>
      </c>
      <c r="AC66" s="39" t="str">
        <f t="shared" ref="AC66:AC68" si="181">AC61</f>
        <v>Bacon, Eggs &amp; Sausages</v>
      </c>
      <c r="AD66" s="40">
        <f t="shared" ref="AD66:AD68" si="182">AC57</f>
        <v>0</v>
      </c>
      <c r="AE66" s="39" t="str">
        <f t="shared" ref="AE66:AE68" si="183">AE61</f>
        <v>Continental</v>
      </c>
      <c r="AF66" s="40">
        <f t="shared" ref="AF66:AF68" si="184">AE57</f>
        <v>0</v>
      </c>
      <c r="AG66" s="39" t="str">
        <f t="shared" ref="AG66:AG68" si="185">AG61</f>
        <v>N/A</v>
      </c>
      <c r="AH66" s="40">
        <f t="shared" ref="AH66:AH68" si="186">AG57</f>
        <v>0</v>
      </c>
    </row>
    <row r="67" spans="1:34" x14ac:dyDescent="0.3">
      <c r="A67" s="212"/>
      <c r="B67" s="213"/>
      <c r="C67" s="215"/>
      <c r="D67" s="26" t="s">
        <v>111</v>
      </c>
      <c r="E67" s="14">
        <f>COUNTIFS($F$13:$F$24,"no nuts"&amp;"",$D$13:$D$24,"12 - DPCYT",$F$13:$F$24,"no nuts")+COUNTIFS($F$27:$F$30,"no nuts"&amp;"",$D$27:$D$30,"12 - DPCYT",$F$27:$F$30,"no nuts")</f>
        <v>0</v>
      </c>
      <c r="F67" s="11"/>
      <c r="H67" s="11"/>
      <c r="I67" s="378"/>
      <c r="J67" s="30" t="s">
        <v>9</v>
      </c>
      <c r="K67" s="39" t="str">
        <f>K62</f>
        <v>N/A</v>
      </c>
      <c r="L67" s="40">
        <f>K58</f>
        <v>0</v>
      </c>
      <c r="M67" s="39" t="str">
        <f t="shared" ref="M67" si="187">M62</f>
        <v>N/A</v>
      </c>
      <c r="N67" s="40">
        <f t="shared" ref="N67" si="188">M58</f>
        <v>0</v>
      </c>
      <c r="O67" s="39" t="str">
        <f t="shared" ref="O67" si="189">O62</f>
        <v>N/A</v>
      </c>
      <c r="P67" s="40">
        <f t="shared" ref="P67" si="190">O58</f>
        <v>0</v>
      </c>
      <c r="Q67" s="39" t="str">
        <f t="shared" si="169"/>
        <v>Beef Wraps</v>
      </c>
      <c r="R67" s="40">
        <f t="shared" si="170"/>
        <v>0</v>
      </c>
      <c r="S67" s="39" t="str">
        <f t="shared" si="171"/>
        <v>Chicken Wraps</v>
      </c>
      <c r="T67" s="40">
        <f t="shared" si="172"/>
        <v>0</v>
      </c>
      <c r="U67" s="39" t="str">
        <f t="shared" si="173"/>
        <v>Beef Wraps</v>
      </c>
      <c r="V67" s="40">
        <f t="shared" si="174"/>
        <v>0</v>
      </c>
      <c r="W67" s="39" t="str">
        <f t="shared" si="175"/>
        <v>Toasted Chicken Paninis</v>
      </c>
      <c r="X67" s="40">
        <f t="shared" si="176"/>
        <v>0</v>
      </c>
      <c r="Y67" s="39" t="str">
        <f t="shared" si="177"/>
        <v>chickpea curry</v>
      </c>
      <c r="Z67" s="40">
        <f t="shared" si="178"/>
        <v>0</v>
      </c>
      <c r="AA67" s="39" t="str">
        <f t="shared" si="179"/>
        <v>Potato Salad with Chirizo</v>
      </c>
      <c r="AB67" s="40">
        <f t="shared" si="180"/>
        <v>0</v>
      </c>
      <c r="AC67" s="39" t="str">
        <f t="shared" si="181"/>
        <v>N/A</v>
      </c>
      <c r="AD67" s="40">
        <f t="shared" si="182"/>
        <v>0</v>
      </c>
      <c r="AE67" s="39" t="str">
        <f t="shared" si="183"/>
        <v>N/A</v>
      </c>
      <c r="AF67" s="40">
        <f t="shared" si="184"/>
        <v>0</v>
      </c>
      <c r="AG67" s="39" t="str">
        <f t="shared" si="185"/>
        <v>N/A</v>
      </c>
      <c r="AH67" s="40">
        <f t="shared" si="186"/>
        <v>0</v>
      </c>
    </row>
    <row r="68" spans="1:34" ht="16.2" thickBot="1" x14ac:dyDescent="0.35">
      <c r="A68" s="212"/>
      <c r="B68" s="213"/>
      <c r="C68" s="215"/>
      <c r="D68" s="26" t="s">
        <v>441</v>
      </c>
      <c r="E68" s="14">
        <f>COUNTIFS($F$13:$F$24,"no nuts"&amp;"",$D$13:$D$24,"12 - DSCYT",$F$13:$F$24,"no nuts")+COUNTIFS($F$27:$F$30,"no nuts"&amp;"",$D$27:$D$30,"12 - DSCYT",$F$27:$F$30,"no nuts")</f>
        <v>0</v>
      </c>
      <c r="F68" s="11"/>
      <c r="H68" s="11"/>
      <c r="I68" s="379"/>
      <c r="J68" s="34" t="s">
        <v>1</v>
      </c>
      <c r="K68" s="41" t="str">
        <f>K63</f>
        <v>N/A</v>
      </c>
      <c r="L68" s="42">
        <f>K59</f>
        <v>0</v>
      </c>
      <c r="M68" s="41" t="str">
        <f t="shared" ref="M68" si="191">M63</f>
        <v>N/A</v>
      </c>
      <c r="N68" s="42">
        <f t="shared" ref="N68" si="192">M59</f>
        <v>0</v>
      </c>
      <c r="O68" s="41" t="str">
        <f t="shared" ref="O68" si="193">O63</f>
        <v>N/A</v>
      </c>
      <c r="P68" s="42">
        <f t="shared" ref="P68" si="194">O59</f>
        <v>0</v>
      </c>
      <c r="Q68" s="41" t="str">
        <f t="shared" si="169"/>
        <v>N/A</v>
      </c>
      <c r="R68" s="42">
        <f t="shared" si="170"/>
        <v>0</v>
      </c>
      <c r="S68" s="41" t="str">
        <f t="shared" si="171"/>
        <v>Chicken Fried Rice</v>
      </c>
      <c r="T68" s="42">
        <f t="shared" si="172"/>
        <v>0</v>
      </c>
      <c r="U68" s="41" t="str">
        <f t="shared" si="173"/>
        <v>Beef &amp; soba noodles</v>
      </c>
      <c r="V68" s="42">
        <f t="shared" si="174"/>
        <v>0</v>
      </c>
      <c r="W68" s="41" t="str">
        <f t="shared" si="175"/>
        <v>Pulled Pork Nachos</v>
      </c>
      <c r="X68" s="42">
        <f t="shared" si="176"/>
        <v>0</v>
      </c>
      <c r="Y68" s="41" t="str">
        <f t="shared" si="177"/>
        <v>Spaghetti Bolognese</v>
      </c>
      <c r="Z68" s="42">
        <f t="shared" si="178"/>
        <v>0</v>
      </c>
      <c r="AA68" s="41" t="str">
        <f t="shared" si="179"/>
        <v>N/A</v>
      </c>
      <c r="AB68" s="42">
        <f t="shared" si="180"/>
        <v>0</v>
      </c>
      <c r="AC68" s="41" t="str">
        <f t="shared" si="181"/>
        <v>Steak &amp; mash</v>
      </c>
      <c r="AD68" s="42">
        <f t="shared" si="182"/>
        <v>0</v>
      </c>
      <c r="AE68" s="41" t="str">
        <f t="shared" si="183"/>
        <v>N/A</v>
      </c>
      <c r="AF68" s="42">
        <f t="shared" si="184"/>
        <v>0</v>
      </c>
      <c r="AG68" s="41" t="str">
        <f t="shared" si="185"/>
        <v>N/A</v>
      </c>
      <c r="AH68" s="42">
        <f t="shared" si="186"/>
        <v>0</v>
      </c>
    </row>
    <row r="69" spans="1:34" x14ac:dyDescent="0.3">
      <c r="A69" s="212"/>
      <c r="B69" s="213"/>
      <c r="C69" s="215"/>
      <c r="D69" s="26" t="s">
        <v>112</v>
      </c>
      <c r="E69" s="14">
        <f>COUNTIFS($F$13:$F$24,"no nuts"&amp;"",$D$13:$D$24,"9 - DPCYT",$F$13:$F$24,"no nuts")+COUNTIFS($F$27:$F$30,"no nuts"&amp;"",$D$27:$D$30,"9 - DPCYT",$F$27:$F$30,"no nuts")</f>
        <v>0</v>
      </c>
      <c r="F69" s="11"/>
    </row>
    <row r="70" spans="1:34" x14ac:dyDescent="0.3">
      <c r="A70" s="212"/>
      <c r="B70" s="213"/>
      <c r="C70" s="215"/>
      <c r="D70" s="26" t="s">
        <v>448</v>
      </c>
      <c r="E70" s="14">
        <f>COUNTIFS($F$13:$F$24,"no nuts"&amp;"",$D$13:$D$24,"9 - DPSYT",$F$13:$F$24,"no nuts")+COUNTIFS($F$27:$F$30,"no nuts"&amp;"",$D$27:$D$30,"9 - DPCYT",$F$27:$F$30,"no nuts")</f>
        <v>0</v>
      </c>
      <c r="F70" s="11"/>
    </row>
    <row r="71" spans="1:34" x14ac:dyDescent="0.3">
      <c r="A71" s="212"/>
      <c r="B71" s="213"/>
      <c r="C71" s="215"/>
      <c r="D71" s="26" t="s">
        <v>113</v>
      </c>
      <c r="E71" s="14">
        <f>COUNTIFS($F$13:$F$24,"no nuts"&amp;"",$D$13:$D$24,"5 - DTT",$F$13:$F$24,"no nuts")+COUNTIFS($F$27:$F$30,"no nuts"&amp;"",$D$27:$D$30,"5 - DTT",$F$27:$F$30,"no nuts")</f>
        <v>0</v>
      </c>
      <c r="F71" s="11"/>
      <c r="I71" s="374" t="s">
        <v>129</v>
      </c>
      <c r="J71" s="47" t="s">
        <v>66</v>
      </c>
      <c r="K71" s="372">
        <f>IF(K9="Yes",$E$73+$E$74+$E$77,0)</f>
        <v>0</v>
      </c>
      <c r="L71" s="373"/>
      <c r="M71" s="372">
        <f>IF(M9="Yes",$E$73+$E$74+$E$77,0)</f>
        <v>0</v>
      </c>
      <c r="N71" s="373"/>
      <c r="O71" s="372">
        <f>IF(O9="Yes",$E$73+$E$74+$E$75+$E$76+$E$77,0)</f>
        <v>0</v>
      </c>
      <c r="P71" s="373"/>
      <c r="Q71" s="372">
        <f>IF(Q9="Yes",$E$73+$E$74+$E$75+$E$76+$E$77,0)</f>
        <v>0</v>
      </c>
      <c r="R71" s="373"/>
      <c r="S71" s="372">
        <f t="shared" ref="S71:AG72" si="195">IF(S9="Yes",$E$73+$E$74+$E$75+$E$76,0)</f>
        <v>0</v>
      </c>
      <c r="T71" s="373"/>
      <c r="U71" s="372">
        <f t="shared" si="195"/>
        <v>0</v>
      </c>
      <c r="V71" s="373"/>
      <c r="W71" s="372">
        <f t="shared" si="195"/>
        <v>0</v>
      </c>
      <c r="X71" s="373"/>
      <c r="Y71" s="372">
        <f t="shared" si="195"/>
        <v>0</v>
      </c>
      <c r="Z71" s="373"/>
      <c r="AA71" s="372">
        <f t="shared" si="195"/>
        <v>0</v>
      </c>
      <c r="AB71" s="373"/>
      <c r="AC71" s="372">
        <f t="shared" si="195"/>
        <v>0</v>
      </c>
      <c r="AD71" s="373"/>
      <c r="AE71" s="372">
        <f t="shared" si="195"/>
        <v>0</v>
      </c>
      <c r="AF71" s="373"/>
      <c r="AG71" s="372">
        <f t="shared" si="195"/>
        <v>0</v>
      </c>
      <c r="AH71" s="373"/>
    </row>
    <row r="72" spans="1:34" x14ac:dyDescent="0.3">
      <c r="A72" s="212"/>
      <c r="B72" s="213"/>
      <c r="C72" s="215"/>
      <c r="F72" s="11"/>
      <c r="I72" s="375"/>
      <c r="J72" s="48" t="s">
        <v>67</v>
      </c>
      <c r="K72" s="372">
        <f t="shared" ref="K72:M73" si="196">IF(K10="Yes",$E$73+$E$74+$E$77,0)</f>
        <v>0</v>
      </c>
      <c r="L72" s="373"/>
      <c r="M72" s="372">
        <f t="shared" si="196"/>
        <v>0</v>
      </c>
      <c r="N72" s="373"/>
      <c r="O72" s="372">
        <f t="shared" ref="O72:Q73" si="197">IF(O10="Yes",$E$73+$E$74+$E$75+$E$76+$E$77,0)</f>
        <v>0</v>
      </c>
      <c r="P72" s="373"/>
      <c r="Q72" s="372">
        <f t="shared" si="197"/>
        <v>0</v>
      </c>
      <c r="R72" s="373"/>
      <c r="S72" s="372">
        <f t="shared" si="195"/>
        <v>0</v>
      </c>
      <c r="T72" s="373"/>
      <c r="U72" s="372">
        <f t="shared" si="195"/>
        <v>0</v>
      </c>
      <c r="V72" s="373"/>
      <c r="W72" s="372">
        <f t="shared" si="195"/>
        <v>0</v>
      </c>
      <c r="X72" s="373"/>
      <c r="Y72" s="372">
        <f t="shared" si="195"/>
        <v>0</v>
      </c>
      <c r="Z72" s="373"/>
      <c r="AA72" s="372">
        <f t="shared" si="195"/>
        <v>0</v>
      </c>
      <c r="AB72" s="373"/>
      <c r="AC72" s="372">
        <f t="shared" si="195"/>
        <v>0</v>
      </c>
      <c r="AD72" s="373"/>
      <c r="AE72" s="372">
        <f t="shared" si="195"/>
        <v>0</v>
      </c>
      <c r="AF72" s="373"/>
      <c r="AG72" s="372">
        <f t="shared" si="195"/>
        <v>0</v>
      </c>
      <c r="AH72" s="373"/>
    </row>
    <row r="73" spans="1:34" x14ac:dyDescent="0.3">
      <c r="C73" s="218"/>
      <c r="D73" s="26" t="s">
        <v>114</v>
      </c>
      <c r="E73" s="14">
        <f>COUNTIFS($F$13:$F$24,"gluten &amp; lactose intolerance"&amp;"",$D$13:$D$24,"12 - DPCYT",$F$13:$F$24,"gluten &amp; lactose intolerance")+COUNTIFS($F$27:$F$30,"gluten &amp; lactose intolerance"&amp;"",$D$27:$D$30,"12 - DPCYT",$F$27:$F$30,"gluten &amp; lactose intolerance")</f>
        <v>0</v>
      </c>
      <c r="F73" s="11"/>
      <c r="I73" s="376"/>
      <c r="J73" s="49" t="s">
        <v>64</v>
      </c>
      <c r="K73" s="372">
        <f t="shared" si="196"/>
        <v>0</v>
      </c>
      <c r="L73" s="373"/>
      <c r="M73" s="372">
        <f t="shared" si="196"/>
        <v>0</v>
      </c>
      <c r="N73" s="373"/>
      <c r="O73" s="372">
        <f t="shared" si="197"/>
        <v>0</v>
      </c>
      <c r="P73" s="373"/>
      <c r="Q73" s="372">
        <f>IF(Q11="Yes",$E$73+$E$74+$E$75+$E$76,0)</f>
        <v>0</v>
      </c>
      <c r="R73" s="373"/>
      <c r="S73" s="372">
        <f>IF(S11="Yes",$E$73+$E$74+$E$75+$E$76,0)</f>
        <v>0</v>
      </c>
      <c r="T73" s="373"/>
      <c r="U73" s="372">
        <f t="shared" ref="U73" si="198">IF(U11="Yes",$E$73+$E$74+$E$75+$E$76,0)</f>
        <v>0</v>
      </c>
      <c r="V73" s="373"/>
      <c r="W73" s="372">
        <f t="shared" ref="W73" si="199">IF(W11="Yes",$E$73+$E$74+$E$75+$E$76,0)</f>
        <v>0</v>
      </c>
      <c r="X73" s="373"/>
      <c r="Y73" s="372">
        <f t="shared" ref="Y73" si="200">IF(Y11="Yes",$E$73+$E$74+$E$75+$E$76,0)</f>
        <v>0</v>
      </c>
      <c r="Z73" s="373"/>
      <c r="AA73" s="372">
        <f t="shared" ref="AA73" si="201">IF(AA11="Yes",$E$73+$E$74+$E$75+$E$76,0)</f>
        <v>0</v>
      </c>
      <c r="AB73" s="373"/>
      <c r="AC73" s="372">
        <f t="shared" ref="AC73" si="202">IF(AC11="Yes",$E$73+$E$74+$E$75+$E$76,0)</f>
        <v>0</v>
      </c>
      <c r="AD73" s="373"/>
      <c r="AE73" s="372">
        <f t="shared" ref="AE73" si="203">IF(AE11="Yes",$E$73+$E$74+$E$75+$E$76,0)</f>
        <v>0</v>
      </c>
      <c r="AF73" s="373"/>
      <c r="AG73" s="372">
        <f t="shared" ref="AG73" si="204">IF(AG11="Yes",$E$73+$E$74+$E$75+$E$76,0)</f>
        <v>0</v>
      </c>
      <c r="AH73" s="373"/>
    </row>
    <row r="74" spans="1:34" x14ac:dyDescent="0.3">
      <c r="C74" s="218"/>
      <c r="D74" s="26" t="s">
        <v>449</v>
      </c>
      <c r="E74" s="14">
        <f>COUNTIFS($F$13:$F$24,"gluten &amp; lactose intolerance"&amp;"",$D$13:$D$24,"12 - DSCYT",$F$13:$F$24,"gluten &amp; lactose intolerance")+COUNTIFS($F$27:$F$30,"gluten &amp; lactose intolerance"&amp;"",$D$27:$D$30,"12 - DSCYT",$F$27:$F$30,"gluten &amp; lactose intolerance")</f>
        <v>0</v>
      </c>
      <c r="F74" s="11"/>
      <c r="K74" s="35"/>
      <c r="L74" s="36"/>
      <c r="M74" s="35"/>
      <c r="N74" s="36"/>
      <c r="O74" s="35"/>
      <c r="P74" s="36"/>
      <c r="Q74" s="35"/>
      <c r="R74" s="36"/>
      <c r="S74" s="35"/>
      <c r="T74" s="36"/>
      <c r="U74" s="35"/>
      <c r="V74" s="36"/>
      <c r="W74" s="35"/>
      <c r="X74" s="36"/>
      <c r="Y74" s="35"/>
      <c r="Z74" s="36"/>
      <c r="AA74" s="35"/>
      <c r="AB74" s="36"/>
      <c r="AC74" s="35"/>
      <c r="AD74" s="36"/>
      <c r="AE74" s="35"/>
      <c r="AF74" s="36"/>
      <c r="AG74" s="35"/>
      <c r="AH74" s="36"/>
    </row>
    <row r="75" spans="1:34" x14ac:dyDescent="0.3">
      <c r="C75" s="218"/>
      <c r="D75" s="26" t="s">
        <v>115</v>
      </c>
      <c r="E75" s="14">
        <f>COUNTIFS($F$13:$F$24,"gluten &amp; lactose intolerance"&amp;"",$D$13:$D$24,"9 - DPCYT",$F$13:$F$24,"gluten &amp; lactose intolerance")+COUNTIFS($F$27:$F$30,"gluten &amp; lactose intolerance"&amp;"",$D$27:$D$30,"9 - DPCYT",$F$27:$F$30,"gluten &amp; lactose intolerance")</f>
        <v>0</v>
      </c>
      <c r="F75" s="11"/>
      <c r="I75" s="374" t="s">
        <v>127</v>
      </c>
      <c r="J75" s="33" t="s">
        <v>72</v>
      </c>
      <c r="K75" s="367" t="str">
        <f>data_formula_legend!E46</f>
        <v>N/A</v>
      </c>
      <c r="L75" s="368"/>
      <c r="M75" s="367" t="str">
        <f>data_formula_legend!F46</f>
        <v>Continental</v>
      </c>
      <c r="N75" s="368"/>
      <c r="O75" s="367" t="str">
        <f>data_formula_legend!G46</f>
        <v>N/A</v>
      </c>
      <c r="P75" s="368"/>
      <c r="Q75" s="367" t="str">
        <f>data_formula_legend!H46</f>
        <v>N/A</v>
      </c>
      <c r="R75" s="368"/>
      <c r="S75" s="367" t="str">
        <f>data_formula_legend!I46</f>
        <v>Continental</v>
      </c>
      <c r="T75" s="368"/>
      <c r="U75" s="367" t="str">
        <f>data_formula_legend!J46</f>
        <v>Bacon, Eggs &amp; Sausages</v>
      </c>
      <c r="V75" s="368"/>
      <c r="W75" s="367" t="str">
        <f>data_formula_legend!K46</f>
        <v>Bacon, Eggs &amp; Sausages</v>
      </c>
      <c r="X75" s="368"/>
      <c r="Y75" s="367" t="str">
        <f>data_formula_legend!L46</f>
        <v>Continental</v>
      </c>
      <c r="Z75" s="368"/>
      <c r="AA75" s="367" t="str">
        <f>data_formula_legend!M46</f>
        <v>Continental</v>
      </c>
      <c r="AB75" s="368"/>
      <c r="AC75" s="367" t="str">
        <f>data_formula_legend!N46</f>
        <v>Bacon, Eggs &amp; Sausages</v>
      </c>
      <c r="AD75" s="368"/>
      <c r="AE75" s="367" t="str">
        <f>data_formula_legend!O46</f>
        <v>Continental</v>
      </c>
      <c r="AF75" s="368"/>
      <c r="AG75" s="367" t="str">
        <f>data_formula_legend!P46</f>
        <v>N/A</v>
      </c>
      <c r="AH75" s="368"/>
    </row>
    <row r="76" spans="1:34" x14ac:dyDescent="0.3">
      <c r="C76" s="218"/>
      <c r="D76" s="26" t="s">
        <v>450</v>
      </c>
      <c r="E76" s="14">
        <f>COUNTIFS($F$13:$F$24,"gluten &amp; lactose intolerance"&amp;"",$D$13:$D$24,"9 - DPSYT",$F$13:$F$24,"gluten &amp; lactose intolerance")+COUNTIFS($F$27:$F$30,"gluten &amp; lactose intolerance"&amp;"",$D$27:$D$30,"9 - DPCYT",$F$27:$F$30,"gluten &amp; lactose intolerance")</f>
        <v>0</v>
      </c>
      <c r="F76" s="11"/>
      <c r="I76" s="375"/>
      <c r="J76" s="30" t="s">
        <v>73</v>
      </c>
      <c r="K76" s="367" t="str">
        <f>data_formula_legend!E47</f>
        <v>N/A</v>
      </c>
      <c r="L76" s="368"/>
      <c r="M76" s="367" t="str">
        <f>data_formula_legend!F47</f>
        <v>N/A</v>
      </c>
      <c r="N76" s="368"/>
      <c r="O76" s="367" t="str">
        <f>data_formula_legend!G47</f>
        <v>N/A</v>
      </c>
      <c r="P76" s="368"/>
      <c r="Q76" s="367" t="str">
        <f>data_formula_legend!H47</f>
        <v>Beef Wraps</v>
      </c>
      <c r="R76" s="368"/>
      <c r="S76" s="367" t="str">
        <f>data_formula_legend!I47</f>
        <v>Chicken Wraps</v>
      </c>
      <c r="T76" s="368"/>
      <c r="U76" s="367" t="str">
        <f>data_formula_legend!J47</f>
        <v>Beef Wraps</v>
      </c>
      <c r="V76" s="368"/>
      <c r="W76" s="367" t="str">
        <f>data_formula_legend!K47</f>
        <v>Toasted Chicken Paninis</v>
      </c>
      <c r="X76" s="368"/>
      <c r="Y76" s="367" t="str">
        <f>data_formula_legend!L47</f>
        <v>chickpea curry</v>
      </c>
      <c r="Z76" s="368"/>
      <c r="AA76" s="367" t="str">
        <f>data_formula_legend!M47</f>
        <v>Potato Salad with Chirizo</v>
      </c>
      <c r="AB76" s="368"/>
      <c r="AC76" s="367" t="str">
        <f>data_formula_legend!N47</f>
        <v>N/A</v>
      </c>
      <c r="AD76" s="368"/>
      <c r="AE76" s="367" t="str">
        <f>data_formula_legend!O47</f>
        <v>N/A</v>
      </c>
      <c r="AF76" s="368"/>
      <c r="AG76" s="367" t="str">
        <f>data_formula_legend!P47</f>
        <v>N/A</v>
      </c>
      <c r="AH76" s="368"/>
    </row>
    <row r="77" spans="1:34" x14ac:dyDescent="0.3">
      <c r="C77" s="218"/>
      <c r="D77" s="26" t="s">
        <v>116</v>
      </c>
      <c r="E77" s="14">
        <f>COUNTIFS($F$13:$F$24,"gluten &amp; lactose intolerance"&amp;"",$D$13:$D$24,"5 - DTT",$F$13:$F$24,"gluten &amp; lactose intolerance")+COUNTIFS($F$27:$F$30,"gluten &amp; lactose intolerance"&amp;"",$D$27:$D$30,"5 - DTT",$F$27:$F$30,"gluten &amp; lactose intolerance")</f>
        <v>0</v>
      </c>
      <c r="F77" s="11"/>
      <c r="I77" s="376"/>
      <c r="J77" s="34" t="s">
        <v>74</v>
      </c>
      <c r="K77" s="367" t="str">
        <f>data_formula_legend!E48</f>
        <v>N/A</v>
      </c>
      <c r="L77" s="368"/>
      <c r="M77" s="367" t="str">
        <f>data_formula_legend!F48</f>
        <v>N/A</v>
      </c>
      <c r="N77" s="368"/>
      <c r="O77" s="367" t="str">
        <f>data_formula_legend!G48</f>
        <v>N/A</v>
      </c>
      <c r="P77" s="368"/>
      <c r="Q77" s="367" t="str">
        <f>data_formula_legend!H48</f>
        <v>N/A</v>
      </c>
      <c r="R77" s="368"/>
      <c r="S77" s="367" t="str">
        <f>data_formula_legend!I48</f>
        <v>Chicken Fried Rice</v>
      </c>
      <c r="T77" s="368"/>
      <c r="U77" s="367" t="str">
        <f>data_formula_legend!J48</f>
        <v>Beef &amp; soba noodles</v>
      </c>
      <c r="V77" s="368"/>
      <c r="W77" s="367" t="str">
        <f>data_formula_legend!K48</f>
        <v>Pulled Pork Nachos</v>
      </c>
      <c r="X77" s="368"/>
      <c r="Y77" s="367" t="str">
        <f>data_formula_legend!L48</f>
        <v>Spaghetti Bolognese</v>
      </c>
      <c r="Z77" s="368"/>
      <c r="AA77" s="367" t="str">
        <f>data_formula_legend!M48</f>
        <v>N/A</v>
      </c>
      <c r="AB77" s="368"/>
      <c r="AC77" s="367" t="str">
        <f>data_formula_legend!N48</f>
        <v>Steak &amp; mash</v>
      </c>
      <c r="AD77" s="368"/>
      <c r="AE77" s="367" t="str">
        <f>data_formula_legend!O48</f>
        <v>N/A</v>
      </c>
      <c r="AF77" s="368"/>
      <c r="AG77" s="367" t="str">
        <f>data_formula_legend!P48</f>
        <v>N/A</v>
      </c>
      <c r="AH77" s="368"/>
    </row>
    <row r="78" spans="1:34" x14ac:dyDescent="0.3">
      <c r="C78" s="218"/>
      <c r="F78" s="11"/>
      <c r="I78" s="1"/>
      <c r="J78" s="32"/>
      <c r="K78" s="35"/>
      <c r="L78" s="36"/>
      <c r="M78" s="19"/>
      <c r="N78" s="21"/>
      <c r="O78" s="19"/>
      <c r="P78" s="21"/>
      <c r="Q78" s="19"/>
      <c r="R78" s="21"/>
      <c r="S78" s="19"/>
      <c r="T78" s="21"/>
      <c r="U78" s="19"/>
      <c r="V78" s="21"/>
      <c r="W78" s="19"/>
      <c r="X78" s="21"/>
      <c r="Y78" s="19"/>
      <c r="Z78" s="21"/>
      <c r="AA78" s="19"/>
      <c r="AB78" s="21"/>
      <c r="AC78" s="19"/>
      <c r="AD78" s="21"/>
      <c r="AE78" s="19"/>
      <c r="AF78" s="21"/>
      <c r="AG78" s="19"/>
      <c r="AH78" s="21"/>
    </row>
    <row r="79" spans="1:34" x14ac:dyDescent="0.3">
      <c r="C79" s="218"/>
      <c r="D79" s="26" t="s">
        <v>136</v>
      </c>
      <c r="E79" s="14">
        <f>COUNTIFS($F$13:$F$24,"other"&amp;"",$D$13:$D$24,"12 - DPCYT",$F$13:$F$24,"other")+COUNTIFS($F$27:$F$30,"other"&amp;"",$D$27:$D$30,"12 - DPCYT",$F$27:$F$30,"other")</f>
        <v>0</v>
      </c>
      <c r="F79" s="11"/>
      <c r="K79" s="37" t="s">
        <v>76</v>
      </c>
      <c r="L79" s="38" t="s">
        <v>77</v>
      </c>
      <c r="M79" s="37" t="s">
        <v>76</v>
      </c>
      <c r="N79" s="38" t="s">
        <v>77</v>
      </c>
      <c r="O79" s="37" t="s">
        <v>76</v>
      </c>
      <c r="P79" s="38" t="s">
        <v>77</v>
      </c>
      <c r="Q79" s="37" t="s">
        <v>76</v>
      </c>
      <c r="R79" s="38" t="s">
        <v>77</v>
      </c>
      <c r="S79" s="37" t="s">
        <v>76</v>
      </c>
      <c r="T79" s="38" t="s">
        <v>77</v>
      </c>
      <c r="U79" s="37" t="s">
        <v>76</v>
      </c>
      <c r="V79" s="38" t="s">
        <v>77</v>
      </c>
      <c r="W79" s="37" t="s">
        <v>76</v>
      </c>
      <c r="X79" s="38" t="s">
        <v>77</v>
      </c>
      <c r="Y79" s="37" t="s">
        <v>76</v>
      </c>
      <c r="Z79" s="38" t="s">
        <v>77</v>
      </c>
      <c r="AA79" s="37" t="s">
        <v>76</v>
      </c>
      <c r="AB79" s="38" t="s">
        <v>77</v>
      </c>
      <c r="AC79" s="37" t="s">
        <v>76</v>
      </c>
      <c r="AD79" s="38" t="s">
        <v>77</v>
      </c>
      <c r="AE79" s="37" t="s">
        <v>76</v>
      </c>
      <c r="AF79" s="38" t="s">
        <v>77</v>
      </c>
      <c r="AG79" s="37" t="s">
        <v>76</v>
      </c>
      <c r="AH79" s="38" t="s">
        <v>77</v>
      </c>
    </row>
    <row r="80" spans="1:34" x14ac:dyDescent="0.3">
      <c r="C80" s="218"/>
      <c r="D80" s="26" t="s">
        <v>451</v>
      </c>
      <c r="E80" s="14">
        <f>COUNTIFS($F$13:$F$24,"other"&amp;"",$D$13:$D$24,"12 - DSCYT",$F$13:$F$24,"other")+COUNTIFS($F$27:$F$30,"other"&amp;"",$D$27:$D$30,"12 - DSCYT",$F$27:$F$30,"other")</f>
        <v>0</v>
      </c>
      <c r="F80" s="11"/>
      <c r="I80" s="374" t="s">
        <v>128</v>
      </c>
      <c r="J80" s="33" t="s">
        <v>11</v>
      </c>
      <c r="K80" s="39" t="str">
        <f>K75</f>
        <v>N/A</v>
      </c>
      <c r="L80" s="40">
        <f>K71</f>
        <v>0</v>
      </c>
      <c r="M80" s="39" t="str">
        <f>M75</f>
        <v>Continental</v>
      </c>
      <c r="N80" s="40">
        <f>M71</f>
        <v>0</v>
      </c>
      <c r="O80" s="39" t="str">
        <f>O75</f>
        <v>N/A</v>
      </c>
      <c r="P80" s="40">
        <f>O71</f>
        <v>0</v>
      </c>
      <c r="Q80" s="39" t="str">
        <f t="shared" ref="Q80:Q82" si="205">Q75</f>
        <v>N/A</v>
      </c>
      <c r="R80" s="40">
        <f t="shared" ref="R80:R82" si="206">Q71</f>
        <v>0</v>
      </c>
      <c r="S80" s="39" t="str">
        <f t="shared" ref="S80:S82" si="207">S75</f>
        <v>Continental</v>
      </c>
      <c r="T80" s="40">
        <f t="shared" ref="T80:T82" si="208">S71</f>
        <v>0</v>
      </c>
      <c r="U80" s="39" t="str">
        <f t="shared" ref="U80:U82" si="209">U75</f>
        <v>Bacon, Eggs &amp; Sausages</v>
      </c>
      <c r="V80" s="40">
        <f t="shared" ref="V80:V82" si="210">U71</f>
        <v>0</v>
      </c>
      <c r="W80" s="39" t="str">
        <f t="shared" ref="W80:W82" si="211">W75</f>
        <v>Bacon, Eggs &amp; Sausages</v>
      </c>
      <c r="X80" s="40">
        <f t="shared" ref="X80:X82" si="212">W71</f>
        <v>0</v>
      </c>
      <c r="Y80" s="39" t="str">
        <f t="shared" ref="Y80:Y82" si="213">Y75</f>
        <v>Continental</v>
      </c>
      <c r="Z80" s="40">
        <f t="shared" ref="Z80:Z82" si="214">Y71</f>
        <v>0</v>
      </c>
      <c r="AA80" s="39" t="str">
        <f t="shared" ref="AA80:AA82" si="215">AA75</f>
        <v>Continental</v>
      </c>
      <c r="AB80" s="40">
        <f t="shared" ref="AB80:AB82" si="216">AA71</f>
        <v>0</v>
      </c>
      <c r="AC80" s="39" t="str">
        <f t="shared" ref="AC80:AC82" si="217">AC75</f>
        <v>Bacon, Eggs &amp; Sausages</v>
      </c>
      <c r="AD80" s="40">
        <f t="shared" ref="AD80:AD82" si="218">AC71</f>
        <v>0</v>
      </c>
      <c r="AE80" s="39" t="str">
        <f t="shared" ref="AE80:AE82" si="219">AE75</f>
        <v>Continental</v>
      </c>
      <c r="AF80" s="40">
        <f t="shared" ref="AF80:AF82" si="220">AE71</f>
        <v>0</v>
      </c>
      <c r="AG80" s="39" t="str">
        <f t="shared" ref="AG80:AG82" si="221">AG75</f>
        <v>N/A</v>
      </c>
      <c r="AH80" s="40">
        <f t="shared" ref="AH80:AH82" si="222">AG71</f>
        <v>0</v>
      </c>
    </row>
    <row r="81" spans="3:34" x14ac:dyDescent="0.3">
      <c r="C81" s="218"/>
      <c r="D81" s="26" t="s">
        <v>137</v>
      </c>
      <c r="E81" s="14">
        <f>COUNTIFS($F$13:$F$24,"other"&amp;"",$D$13:$D$24,"9 - DPCYT",$F$13:$F$24,"other")+COUNTIFS($F$27:$F$30,"other"&amp;"",$D$27:$D$30,"9 - DPCYT",$F$27:$F$30,"other")</f>
        <v>0</v>
      </c>
      <c r="F81" s="11"/>
      <c r="I81" s="375"/>
      <c r="J81" s="30" t="s">
        <v>9</v>
      </c>
      <c r="K81" s="39" t="str">
        <f>K76</f>
        <v>N/A</v>
      </c>
      <c r="L81" s="40">
        <f>K72</f>
        <v>0</v>
      </c>
      <c r="M81" s="39" t="str">
        <f t="shared" ref="M81" si="223">M76</f>
        <v>N/A</v>
      </c>
      <c r="N81" s="40">
        <f t="shared" ref="N81" si="224">M72</f>
        <v>0</v>
      </c>
      <c r="O81" s="39" t="str">
        <f t="shared" ref="O81" si="225">O76</f>
        <v>N/A</v>
      </c>
      <c r="P81" s="40">
        <f t="shared" ref="P81" si="226">O72</f>
        <v>0</v>
      </c>
      <c r="Q81" s="39" t="str">
        <f t="shared" si="205"/>
        <v>Beef Wraps</v>
      </c>
      <c r="R81" s="40">
        <f t="shared" si="206"/>
        <v>0</v>
      </c>
      <c r="S81" s="39" t="str">
        <f t="shared" si="207"/>
        <v>Chicken Wraps</v>
      </c>
      <c r="T81" s="40">
        <f t="shared" si="208"/>
        <v>0</v>
      </c>
      <c r="U81" s="39" t="str">
        <f t="shared" si="209"/>
        <v>Beef Wraps</v>
      </c>
      <c r="V81" s="40">
        <f t="shared" si="210"/>
        <v>0</v>
      </c>
      <c r="W81" s="39" t="str">
        <f t="shared" si="211"/>
        <v>Toasted Chicken Paninis</v>
      </c>
      <c r="X81" s="40">
        <f t="shared" si="212"/>
        <v>0</v>
      </c>
      <c r="Y81" s="39" t="str">
        <f t="shared" si="213"/>
        <v>chickpea curry</v>
      </c>
      <c r="Z81" s="40">
        <f t="shared" si="214"/>
        <v>0</v>
      </c>
      <c r="AA81" s="39" t="str">
        <f t="shared" si="215"/>
        <v>Potato Salad with Chirizo</v>
      </c>
      <c r="AB81" s="40">
        <f t="shared" si="216"/>
        <v>0</v>
      </c>
      <c r="AC81" s="39" t="str">
        <f t="shared" si="217"/>
        <v>N/A</v>
      </c>
      <c r="AD81" s="40">
        <f t="shared" si="218"/>
        <v>0</v>
      </c>
      <c r="AE81" s="39" t="str">
        <f t="shared" si="219"/>
        <v>N/A</v>
      </c>
      <c r="AF81" s="40">
        <f t="shared" si="220"/>
        <v>0</v>
      </c>
      <c r="AG81" s="39" t="str">
        <f t="shared" si="221"/>
        <v>N/A</v>
      </c>
      <c r="AH81" s="40">
        <f t="shared" si="222"/>
        <v>0</v>
      </c>
    </row>
    <row r="82" spans="3:34" ht="16.2" thickBot="1" x14ac:dyDescent="0.35">
      <c r="C82" s="218"/>
      <c r="D82" s="26" t="s">
        <v>452</v>
      </c>
      <c r="E82" s="14">
        <f>COUNTIFS($F$13:$F$24,"other"&amp;"",$D$13:$D$24,"9 - DPSYT",$F$13:$F$24,"other")+COUNTIFS($F$27:$F$30,"other"&amp;"",$D$27:$D$30,"9 - DPCYT",$F$27:$F$30,"other")</f>
        <v>0</v>
      </c>
      <c r="F82" s="11"/>
      <c r="I82" s="376"/>
      <c r="J82" s="34" t="s">
        <v>1</v>
      </c>
      <c r="K82" s="41" t="str">
        <f>K77</f>
        <v>N/A</v>
      </c>
      <c r="L82" s="42">
        <f>K73</f>
        <v>0</v>
      </c>
      <c r="M82" s="41" t="str">
        <f>M77</f>
        <v>N/A</v>
      </c>
      <c r="N82" s="42">
        <f t="shared" ref="N82" si="227">M73</f>
        <v>0</v>
      </c>
      <c r="O82" s="41" t="str">
        <f t="shared" ref="O82" si="228">O77</f>
        <v>N/A</v>
      </c>
      <c r="P82" s="42">
        <f t="shared" ref="P82" si="229">O73</f>
        <v>0</v>
      </c>
      <c r="Q82" s="41" t="str">
        <f t="shared" si="205"/>
        <v>N/A</v>
      </c>
      <c r="R82" s="42">
        <f t="shared" si="206"/>
        <v>0</v>
      </c>
      <c r="S82" s="41" t="str">
        <f t="shared" si="207"/>
        <v>Chicken Fried Rice</v>
      </c>
      <c r="T82" s="42">
        <f t="shared" si="208"/>
        <v>0</v>
      </c>
      <c r="U82" s="41" t="str">
        <f t="shared" si="209"/>
        <v>Beef &amp; soba noodles</v>
      </c>
      <c r="V82" s="42">
        <f t="shared" si="210"/>
        <v>0</v>
      </c>
      <c r="W82" s="41" t="str">
        <f t="shared" si="211"/>
        <v>Pulled Pork Nachos</v>
      </c>
      <c r="X82" s="42">
        <f t="shared" si="212"/>
        <v>0</v>
      </c>
      <c r="Y82" s="41" t="str">
        <f t="shared" si="213"/>
        <v>Spaghetti Bolognese</v>
      </c>
      <c r="Z82" s="42">
        <f t="shared" si="214"/>
        <v>0</v>
      </c>
      <c r="AA82" s="41" t="str">
        <f t="shared" si="215"/>
        <v>N/A</v>
      </c>
      <c r="AB82" s="42">
        <f t="shared" si="216"/>
        <v>0</v>
      </c>
      <c r="AC82" s="41" t="str">
        <f t="shared" si="217"/>
        <v>Steak &amp; mash</v>
      </c>
      <c r="AD82" s="42">
        <f t="shared" si="218"/>
        <v>0</v>
      </c>
      <c r="AE82" s="41" t="str">
        <f t="shared" si="219"/>
        <v>N/A</v>
      </c>
      <c r="AF82" s="42">
        <f t="shared" si="220"/>
        <v>0</v>
      </c>
      <c r="AG82" s="41" t="str">
        <f t="shared" si="221"/>
        <v>N/A</v>
      </c>
      <c r="AH82" s="42">
        <f t="shared" si="222"/>
        <v>0</v>
      </c>
    </row>
    <row r="83" spans="3:34" x14ac:dyDescent="0.3">
      <c r="C83" s="218"/>
      <c r="D83" s="26" t="s">
        <v>138</v>
      </c>
      <c r="E83" s="14">
        <f>COUNTIFS($F$13:$F$24,"other"&amp;"",$D$13:$D$24,"5 - DTT",$F$13:$F$24,"other")+COUNTIFS($F$27:$F$30,"other"&amp;"",$D$27:$D$30,"5 - DTT",$F$27:$F$30,"other")</f>
        <v>0</v>
      </c>
      <c r="F83" s="11"/>
    </row>
    <row r="84" spans="3:34" x14ac:dyDescent="0.3">
      <c r="C84" s="218"/>
      <c r="I84" s="369" t="s">
        <v>133</v>
      </c>
      <c r="J84" s="47" t="s">
        <v>66</v>
      </c>
      <c r="K84" s="372">
        <f>IF(K9="Yes",$E$79+$E$80+$E$83,0)</f>
        <v>0</v>
      </c>
      <c r="L84" s="373"/>
      <c r="M84" s="372">
        <f>IF(M9="Yes",$E$79+$E$80+$E$83,0)</f>
        <v>0</v>
      </c>
      <c r="N84" s="373"/>
      <c r="O84" s="372">
        <f>IF(O9="Yes",$E$79+$E$80+$E$81+$E$82+$E$83,0)</f>
        <v>0</v>
      </c>
      <c r="P84" s="373"/>
      <c r="Q84" s="372">
        <f>IF(Q9="Yes",$E$79+$E$80+$E$81+$E$82+$E$83,0)</f>
        <v>0</v>
      </c>
      <c r="R84" s="373"/>
      <c r="S84" s="372">
        <f>IF(S9="Yes",$E$79+$E$80+$E$81+$E$82+$E$83,0)</f>
        <v>0</v>
      </c>
      <c r="T84" s="373"/>
      <c r="U84" s="372">
        <f t="shared" ref="U84:W85" si="230">IF(U9="Yes",$E$79+$E$80+$E$81+$E$82,0)</f>
        <v>0</v>
      </c>
      <c r="V84" s="373"/>
      <c r="W84" s="372">
        <f t="shared" si="230"/>
        <v>0</v>
      </c>
      <c r="X84" s="373"/>
      <c r="Y84" s="372">
        <f t="shared" ref="Y84" si="231">IF(Y9="Yes",$E$79+$E$80+$E$81+$E$82,0)</f>
        <v>0</v>
      </c>
      <c r="Z84" s="373"/>
      <c r="AA84" s="372">
        <f t="shared" ref="AA84" si="232">IF(AA9="Yes",$E$79+$E$80+$E$81+$E$82,0)</f>
        <v>0</v>
      </c>
      <c r="AB84" s="373"/>
      <c r="AC84" s="372">
        <f t="shared" ref="AC84" si="233">IF(AC9="Yes",$E$79+$E$80+$E$81+$E$82,0)</f>
        <v>0</v>
      </c>
      <c r="AD84" s="373"/>
      <c r="AE84" s="372">
        <f t="shared" ref="AE84" si="234">IF(AE9="Yes",$E$79+$E$80+$E$81+$E$82,0)</f>
        <v>0</v>
      </c>
      <c r="AF84" s="373"/>
      <c r="AG84" s="372">
        <f t="shared" ref="AG84" si="235">IF(AG9="Yes",$E$79+$E$80+$E$81+$E$82,0)</f>
        <v>0</v>
      </c>
      <c r="AH84" s="373"/>
    </row>
    <row r="85" spans="3:34" x14ac:dyDescent="0.3">
      <c r="C85" s="218"/>
      <c r="I85" s="370"/>
      <c r="J85" s="48" t="s">
        <v>67</v>
      </c>
      <c r="K85" s="372">
        <f t="shared" ref="K85:M85" si="236">IF(K10="Yes",$E$79+$E$80+$E$83,0)</f>
        <v>0</v>
      </c>
      <c r="L85" s="373"/>
      <c r="M85" s="372">
        <f t="shared" si="236"/>
        <v>0</v>
      </c>
      <c r="N85" s="373"/>
      <c r="O85" s="372">
        <f t="shared" ref="O85" si="237">IF(O10="Yes",$E$79+$E$80+$E$81+$E$82+$E$83,0)</f>
        <v>0</v>
      </c>
      <c r="P85" s="373"/>
      <c r="Q85" s="372">
        <f t="shared" ref="Q85:S86" si="238">IF(Q10="Yes",$E$79+$E$80+$E$81+$E$82+$E$83,0)</f>
        <v>0</v>
      </c>
      <c r="R85" s="373"/>
      <c r="S85" s="372">
        <f t="shared" si="238"/>
        <v>0</v>
      </c>
      <c r="T85" s="373"/>
      <c r="U85" s="372">
        <f t="shared" si="230"/>
        <v>0</v>
      </c>
      <c r="V85" s="373"/>
      <c r="W85" s="372">
        <f t="shared" si="230"/>
        <v>0</v>
      </c>
      <c r="X85" s="373"/>
      <c r="Y85" s="372">
        <f t="shared" ref="Y85" si="239">IF(Y10="Yes",$E$79+$E$80+$E$81+$E$82,0)</f>
        <v>0</v>
      </c>
      <c r="Z85" s="373"/>
      <c r="AA85" s="372">
        <f t="shared" ref="AA85" si="240">IF(AA10="Yes",$E$79+$E$80+$E$81+$E$82,0)</f>
        <v>0</v>
      </c>
      <c r="AB85" s="373"/>
      <c r="AC85" s="372">
        <f t="shared" ref="AC85" si="241">IF(AC10="Yes",$E$79+$E$80+$E$81+$E$82,0)</f>
        <v>0</v>
      </c>
      <c r="AD85" s="373"/>
      <c r="AE85" s="372">
        <f t="shared" ref="AE85" si="242">IF(AE10="Yes",$E$79+$E$80+$E$81+$E$82,0)</f>
        <v>0</v>
      </c>
      <c r="AF85" s="373"/>
      <c r="AG85" s="372">
        <f t="shared" ref="AG85" si="243">IF(AG10="Yes",$E$79+$E$80+$E$81+$E$82,0)</f>
        <v>0</v>
      </c>
      <c r="AH85" s="373"/>
    </row>
    <row r="86" spans="3:34" x14ac:dyDescent="0.3">
      <c r="C86" s="218"/>
      <c r="I86" s="371"/>
      <c r="J86" s="49" t="s">
        <v>64</v>
      </c>
      <c r="K86" s="372">
        <f>IF(K11="Yes",$E$79+$E$80+$E$83,0)</f>
        <v>0</v>
      </c>
      <c r="L86" s="373"/>
      <c r="M86" s="372">
        <f>IF(M11="Yes",$E$79+$E$80+$E$83,0)</f>
        <v>0</v>
      </c>
      <c r="N86" s="373"/>
      <c r="O86" s="372">
        <f>IF(O11="Yes",$E$79+$E$80+$E$81+$E$82+$E$83,0)</f>
        <v>0</v>
      </c>
      <c r="P86" s="373"/>
      <c r="Q86" s="372">
        <f t="shared" si="238"/>
        <v>0</v>
      </c>
      <c r="R86" s="373"/>
      <c r="S86" s="372">
        <f>IF(S11="Yes",$E$79+$E$80+$E$81+$E$82,0)</f>
        <v>0</v>
      </c>
      <c r="T86" s="373"/>
      <c r="U86" s="372">
        <f>IF(U11="Yes",$E$79+$E$80+$E$81+$E$82,0)</f>
        <v>0</v>
      </c>
      <c r="V86" s="373"/>
      <c r="W86" s="372">
        <f>IF(W11="Yes",$E$79+$E$80+$E$81+$E$82,0)</f>
        <v>0</v>
      </c>
      <c r="X86" s="373"/>
      <c r="Y86" s="372">
        <f t="shared" ref="Y86" si="244">IF(Y11="Yes",$E$79+$E$80+$E$81+$E$82,0)</f>
        <v>0</v>
      </c>
      <c r="Z86" s="373"/>
      <c r="AA86" s="372">
        <f t="shared" ref="AA86" si="245">IF(AA11="Yes",$E$79+$E$80+$E$81+$E$82,0)</f>
        <v>0</v>
      </c>
      <c r="AB86" s="373"/>
      <c r="AC86" s="372">
        <f t="shared" ref="AC86" si="246">IF(AC11="Yes",$E$79+$E$80+$E$81+$E$82,0)</f>
        <v>0</v>
      </c>
      <c r="AD86" s="373"/>
      <c r="AE86" s="372">
        <f t="shared" ref="AE86" si="247">IF(AE11="Yes",$E$79+$E$80+$E$81+$E$82,0)</f>
        <v>0</v>
      </c>
      <c r="AF86" s="373"/>
      <c r="AG86" s="372">
        <f t="shared" ref="AG86" si="248">IF(AG11="Yes",$E$79+$E$80+$E$81+$E$82,0)</f>
        <v>0</v>
      </c>
      <c r="AH86" s="373"/>
    </row>
    <row r="87" spans="3:34" x14ac:dyDescent="0.3">
      <c r="C87" s="218"/>
      <c r="K87" s="35"/>
      <c r="L87" s="36"/>
      <c r="M87" s="35"/>
      <c r="N87" s="36"/>
      <c r="O87" s="35"/>
      <c r="P87" s="36"/>
      <c r="Q87" s="35"/>
      <c r="R87" s="36"/>
      <c r="S87" s="35"/>
      <c r="T87" s="36"/>
      <c r="U87" s="35"/>
      <c r="V87" s="36"/>
      <c r="W87" s="35"/>
      <c r="X87" s="36"/>
      <c r="Y87" s="35"/>
      <c r="Z87" s="36"/>
      <c r="AA87" s="35"/>
      <c r="AB87" s="36"/>
      <c r="AC87" s="35"/>
      <c r="AD87" s="36"/>
      <c r="AE87" s="35"/>
      <c r="AF87" s="36"/>
      <c r="AG87" s="35"/>
      <c r="AH87" s="36"/>
    </row>
    <row r="88" spans="3:34" x14ac:dyDescent="0.3">
      <c r="C88" s="218"/>
      <c r="I88" s="369" t="s">
        <v>134</v>
      </c>
      <c r="J88" s="33" t="s">
        <v>72</v>
      </c>
      <c r="K88" s="367" t="str">
        <f>data_formula_legend!E34</f>
        <v>N/A</v>
      </c>
      <c r="L88" s="368"/>
      <c r="M88" s="367" t="str">
        <f>data_formula_legend!F34</f>
        <v>Continental</v>
      </c>
      <c r="N88" s="368"/>
      <c r="O88" s="367" t="str">
        <f>data_formula_legend!G34</f>
        <v>N/A</v>
      </c>
      <c r="P88" s="368"/>
      <c r="Q88" s="367" t="str">
        <f>data_formula_legend!H34</f>
        <v>N/A</v>
      </c>
      <c r="R88" s="368"/>
      <c r="S88" s="367" t="str">
        <f>data_formula_legend!I34</f>
        <v>Continental</v>
      </c>
      <c r="T88" s="368"/>
      <c r="U88" s="367" t="str">
        <f>data_formula_legend!J34</f>
        <v>Bacon, Eggs &amp; Sausages</v>
      </c>
      <c r="V88" s="368"/>
      <c r="W88" s="367" t="str">
        <f>data_formula_legend!K34</f>
        <v>Bacon, Eggs &amp; Sausages</v>
      </c>
      <c r="X88" s="368"/>
      <c r="Y88" s="367" t="str">
        <f>data_formula_legend!L34</f>
        <v>Continental</v>
      </c>
      <c r="Z88" s="368"/>
      <c r="AA88" s="367" t="str">
        <f>data_formula_legend!M34</f>
        <v>Continental</v>
      </c>
      <c r="AB88" s="368"/>
      <c r="AC88" s="367" t="str">
        <f>data_formula_legend!N34</f>
        <v>Bacon, Eggs &amp; Sausages</v>
      </c>
      <c r="AD88" s="368"/>
      <c r="AE88" s="367" t="str">
        <f>data_formula_legend!O34</f>
        <v>Continental</v>
      </c>
      <c r="AF88" s="368"/>
      <c r="AG88" s="367" t="str">
        <f>data_formula_legend!P34</f>
        <v>N/A</v>
      </c>
      <c r="AH88" s="368"/>
    </row>
    <row r="89" spans="3:34" x14ac:dyDescent="0.3">
      <c r="C89" s="218"/>
      <c r="I89" s="370"/>
      <c r="J89" s="30" t="s">
        <v>73</v>
      </c>
      <c r="K89" s="367" t="str">
        <f>data_formula_legend!E35</f>
        <v>N/A</v>
      </c>
      <c r="L89" s="368"/>
      <c r="M89" s="367" t="str">
        <f>data_formula_legend!F35</f>
        <v>N/A</v>
      </c>
      <c r="N89" s="368"/>
      <c r="O89" s="367" t="str">
        <f>data_formula_legend!G35</f>
        <v>N/A</v>
      </c>
      <c r="P89" s="368"/>
      <c r="Q89" s="367" t="str">
        <f>data_formula_legend!H35</f>
        <v>Beef Wraps</v>
      </c>
      <c r="R89" s="368"/>
      <c r="S89" s="367" t="str">
        <f>data_formula_legend!I35</f>
        <v>Chicken Wraps</v>
      </c>
      <c r="T89" s="368"/>
      <c r="U89" s="367" t="str">
        <f>data_formula_legend!J35</f>
        <v>Beef Wraps</v>
      </c>
      <c r="V89" s="368"/>
      <c r="W89" s="367" t="str">
        <f>data_formula_legend!K35</f>
        <v>Toasted Chicken Paninis</v>
      </c>
      <c r="X89" s="368"/>
      <c r="Y89" s="367" t="str">
        <f>data_formula_legend!L35</f>
        <v>chickpea curry</v>
      </c>
      <c r="Z89" s="368"/>
      <c r="AA89" s="367" t="str">
        <f>data_formula_legend!M35</f>
        <v>Potato Salad with Chirizo</v>
      </c>
      <c r="AB89" s="368"/>
      <c r="AC89" s="367" t="str">
        <f>data_formula_legend!N35</f>
        <v>N/A</v>
      </c>
      <c r="AD89" s="368"/>
      <c r="AE89" s="367" t="str">
        <f>data_formula_legend!O35</f>
        <v>N/A</v>
      </c>
      <c r="AF89" s="368"/>
      <c r="AG89" s="367" t="str">
        <f>data_formula_legend!P35</f>
        <v>N/A</v>
      </c>
      <c r="AH89" s="368"/>
    </row>
    <row r="90" spans="3:34" x14ac:dyDescent="0.3">
      <c r="C90" s="218"/>
      <c r="I90" s="371"/>
      <c r="J90" s="34" t="s">
        <v>74</v>
      </c>
      <c r="K90" s="367" t="str">
        <f>data_formula_legend!E36</f>
        <v>N/A</v>
      </c>
      <c r="L90" s="368"/>
      <c r="M90" s="367" t="str">
        <f>data_formula_legend!F36</f>
        <v>N/A</v>
      </c>
      <c r="N90" s="368"/>
      <c r="O90" s="367" t="str">
        <f>data_formula_legend!G36</f>
        <v>N/A</v>
      </c>
      <c r="P90" s="368"/>
      <c r="Q90" s="367" t="str">
        <f>data_formula_legend!H36</f>
        <v>N/A</v>
      </c>
      <c r="R90" s="368"/>
      <c r="S90" s="367" t="str">
        <f>data_formula_legend!I36</f>
        <v>Chicken Fried Rice</v>
      </c>
      <c r="T90" s="368"/>
      <c r="U90" s="367" t="str">
        <f>data_formula_legend!J36</f>
        <v>Beef &amp; soba noodles</v>
      </c>
      <c r="V90" s="368"/>
      <c r="W90" s="367" t="str">
        <f>data_formula_legend!K36</f>
        <v>Pulled Pork Nachos</v>
      </c>
      <c r="X90" s="368"/>
      <c r="Y90" s="367" t="str">
        <f>data_formula_legend!L36</f>
        <v>Spaghetti Bolognese</v>
      </c>
      <c r="Z90" s="368"/>
      <c r="AA90" s="367" t="str">
        <f>data_formula_legend!M36</f>
        <v>N/A</v>
      </c>
      <c r="AB90" s="368"/>
      <c r="AC90" s="367" t="str">
        <f>data_formula_legend!N36</f>
        <v>Steak &amp; mash</v>
      </c>
      <c r="AD90" s="368"/>
      <c r="AE90" s="367" t="str">
        <f>data_formula_legend!O36</f>
        <v>N/A</v>
      </c>
      <c r="AF90" s="368"/>
      <c r="AG90" s="367" t="str">
        <f>data_formula_legend!P36</f>
        <v>N/A</v>
      </c>
      <c r="AH90" s="368"/>
    </row>
    <row r="91" spans="3:34" x14ac:dyDescent="0.3">
      <c r="C91" s="218"/>
      <c r="I91" s="1"/>
      <c r="J91" s="32"/>
      <c r="K91" s="35"/>
      <c r="L91" s="36"/>
      <c r="M91" s="19"/>
      <c r="N91" s="21"/>
      <c r="O91" s="19"/>
      <c r="P91" s="21"/>
      <c r="Q91" s="19"/>
      <c r="R91" s="21"/>
      <c r="S91" s="19"/>
      <c r="T91" s="21"/>
      <c r="U91" s="19"/>
      <c r="V91" s="21"/>
      <c r="W91" s="19"/>
      <c r="X91" s="21"/>
      <c r="Y91" s="19"/>
      <c r="Z91" s="21"/>
      <c r="AA91" s="19"/>
      <c r="AB91" s="21"/>
      <c r="AC91" s="19"/>
      <c r="AD91" s="21"/>
      <c r="AE91" s="19"/>
      <c r="AF91" s="21"/>
      <c r="AG91" s="19"/>
      <c r="AH91" s="21"/>
    </row>
    <row r="92" spans="3:34" x14ac:dyDescent="0.3">
      <c r="C92" s="218"/>
      <c r="K92" s="37" t="s">
        <v>76</v>
      </c>
      <c r="L92" s="38" t="s">
        <v>77</v>
      </c>
      <c r="M92" s="37" t="s">
        <v>76</v>
      </c>
      <c r="N92" s="38" t="s">
        <v>77</v>
      </c>
      <c r="O92" s="37" t="s">
        <v>76</v>
      </c>
      <c r="P92" s="38" t="s">
        <v>77</v>
      </c>
      <c r="Q92" s="37" t="s">
        <v>76</v>
      </c>
      <c r="R92" s="38" t="s">
        <v>77</v>
      </c>
      <c r="S92" s="37" t="s">
        <v>76</v>
      </c>
      <c r="T92" s="38" t="s">
        <v>77</v>
      </c>
      <c r="U92" s="37" t="s">
        <v>76</v>
      </c>
      <c r="V92" s="38" t="s">
        <v>77</v>
      </c>
      <c r="W92" s="37" t="s">
        <v>76</v>
      </c>
      <c r="X92" s="38" t="s">
        <v>77</v>
      </c>
      <c r="Y92" s="37" t="s">
        <v>76</v>
      </c>
      <c r="Z92" s="38" t="s">
        <v>77</v>
      </c>
      <c r="AA92" s="37" t="s">
        <v>76</v>
      </c>
      <c r="AB92" s="38" t="s">
        <v>77</v>
      </c>
      <c r="AC92" s="37" t="s">
        <v>76</v>
      </c>
      <c r="AD92" s="38" t="s">
        <v>77</v>
      </c>
      <c r="AE92" s="37" t="s">
        <v>76</v>
      </c>
      <c r="AF92" s="38" t="s">
        <v>77</v>
      </c>
      <c r="AG92" s="37" t="s">
        <v>76</v>
      </c>
      <c r="AH92" s="38" t="s">
        <v>77</v>
      </c>
    </row>
    <row r="93" spans="3:34" x14ac:dyDescent="0.3">
      <c r="C93" s="218"/>
      <c r="I93" s="369" t="s">
        <v>135</v>
      </c>
      <c r="J93" s="33" t="s">
        <v>11</v>
      </c>
      <c r="K93" s="39" t="str">
        <f>K88</f>
        <v>N/A</v>
      </c>
      <c r="L93" s="40">
        <f>K84</f>
        <v>0</v>
      </c>
      <c r="M93" s="39" t="str">
        <f>M88</f>
        <v>Continental</v>
      </c>
      <c r="N93" s="40">
        <f>M84</f>
        <v>0</v>
      </c>
      <c r="O93" s="39" t="str">
        <f>O88</f>
        <v>N/A</v>
      </c>
      <c r="P93" s="40">
        <f>O84</f>
        <v>0</v>
      </c>
      <c r="Q93" s="39" t="str">
        <f t="shared" ref="Q93:Q95" si="249">Q88</f>
        <v>N/A</v>
      </c>
      <c r="R93" s="40">
        <f t="shared" ref="R93:R95" si="250">Q84</f>
        <v>0</v>
      </c>
      <c r="S93" s="39" t="str">
        <f t="shared" ref="S93:S95" si="251">S88</f>
        <v>Continental</v>
      </c>
      <c r="T93" s="40">
        <f t="shared" ref="T93:T95" si="252">S84</f>
        <v>0</v>
      </c>
      <c r="U93" s="39" t="str">
        <f t="shared" ref="U93:U95" si="253">U88</f>
        <v>Bacon, Eggs &amp; Sausages</v>
      </c>
      <c r="V93" s="40">
        <f t="shared" ref="V93:V95" si="254">U84</f>
        <v>0</v>
      </c>
      <c r="W93" s="39" t="str">
        <f t="shared" ref="W93:W95" si="255">W88</f>
        <v>Bacon, Eggs &amp; Sausages</v>
      </c>
      <c r="X93" s="40">
        <f t="shared" ref="X93:X95" si="256">W84</f>
        <v>0</v>
      </c>
      <c r="Y93" s="39" t="str">
        <f t="shared" ref="Y93:Y95" si="257">Y88</f>
        <v>Continental</v>
      </c>
      <c r="Z93" s="40">
        <f t="shared" ref="Z93:Z95" si="258">Y84</f>
        <v>0</v>
      </c>
      <c r="AA93" s="39" t="str">
        <f t="shared" ref="AA93:AA95" si="259">AA88</f>
        <v>Continental</v>
      </c>
      <c r="AB93" s="40">
        <f t="shared" ref="AB93:AB95" si="260">AA84</f>
        <v>0</v>
      </c>
      <c r="AC93" s="39" t="str">
        <f t="shared" ref="AC93:AC95" si="261">AC88</f>
        <v>Bacon, Eggs &amp; Sausages</v>
      </c>
      <c r="AD93" s="40">
        <f t="shared" ref="AD93:AD95" si="262">AC84</f>
        <v>0</v>
      </c>
      <c r="AE93" s="39" t="str">
        <f t="shared" ref="AE93:AE95" si="263">AE88</f>
        <v>Continental</v>
      </c>
      <c r="AF93" s="40">
        <f t="shared" ref="AF93:AF95" si="264">AE84</f>
        <v>0</v>
      </c>
      <c r="AG93" s="39" t="str">
        <f t="shared" ref="AG93:AG95" si="265">AG88</f>
        <v>N/A</v>
      </c>
      <c r="AH93" s="40">
        <f t="shared" ref="AH93:AH95" si="266">AG84</f>
        <v>0</v>
      </c>
    </row>
    <row r="94" spans="3:34" x14ac:dyDescent="0.3">
      <c r="C94" s="218"/>
      <c r="I94" s="370"/>
      <c r="J94" s="30" t="s">
        <v>9</v>
      </c>
      <c r="K94" s="39" t="str">
        <f>K89</f>
        <v>N/A</v>
      </c>
      <c r="L94" s="40">
        <f>K85</f>
        <v>0</v>
      </c>
      <c r="M94" s="39" t="str">
        <f t="shared" ref="M94" si="267">M89</f>
        <v>N/A</v>
      </c>
      <c r="N94" s="40">
        <f t="shared" ref="N94" si="268">M85</f>
        <v>0</v>
      </c>
      <c r="O94" s="39" t="str">
        <f t="shared" ref="O94" si="269">O89</f>
        <v>N/A</v>
      </c>
      <c r="P94" s="40">
        <f t="shared" ref="P94" si="270">O85</f>
        <v>0</v>
      </c>
      <c r="Q94" s="39" t="str">
        <f t="shared" si="249"/>
        <v>Beef Wraps</v>
      </c>
      <c r="R94" s="40">
        <f t="shared" si="250"/>
        <v>0</v>
      </c>
      <c r="S94" s="39" t="str">
        <f t="shared" si="251"/>
        <v>Chicken Wraps</v>
      </c>
      <c r="T94" s="40">
        <f t="shared" si="252"/>
        <v>0</v>
      </c>
      <c r="U94" s="39" t="str">
        <f t="shared" si="253"/>
        <v>Beef Wraps</v>
      </c>
      <c r="V94" s="40">
        <f t="shared" si="254"/>
        <v>0</v>
      </c>
      <c r="W94" s="39" t="str">
        <f t="shared" si="255"/>
        <v>Toasted Chicken Paninis</v>
      </c>
      <c r="X94" s="40">
        <f t="shared" si="256"/>
        <v>0</v>
      </c>
      <c r="Y94" s="39" t="str">
        <f t="shared" si="257"/>
        <v>chickpea curry</v>
      </c>
      <c r="Z94" s="40">
        <f t="shared" si="258"/>
        <v>0</v>
      </c>
      <c r="AA94" s="39" t="str">
        <f t="shared" si="259"/>
        <v>Potato Salad with Chirizo</v>
      </c>
      <c r="AB94" s="40">
        <f t="shared" si="260"/>
        <v>0</v>
      </c>
      <c r="AC94" s="39" t="str">
        <f t="shared" si="261"/>
        <v>N/A</v>
      </c>
      <c r="AD94" s="40">
        <f t="shared" si="262"/>
        <v>0</v>
      </c>
      <c r="AE94" s="39" t="str">
        <f t="shared" si="263"/>
        <v>N/A</v>
      </c>
      <c r="AF94" s="40">
        <f t="shared" si="264"/>
        <v>0</v>
      </c>
      <c r="AG94" s="39" t="str">
        <f t="shared" si="265"/>
        <v>N/A</v>
      </c>
      <c r="AH94" s="40">
        <f t="shared" si="266"/>
        <v>0</v>
      </c>
    </row>
    <row r="95" spans="3:34" ht="16.2" thickBot="1" x14ac:dyDescent="0.35">
      <c r="C95" s="218"/>
      <c r="I95" s="371"/>
      <c r="J95" s="34" t="s">
        <v>1</v>
      </c>
      <c r="K95" s="41" t="str">
        <f>K90</f>
        <v>N/A</v>
      </c>
      <c r="L95" s="42">
        <f>K86</f>
        <v>0</v>
      </c>
      <c r="M95" s="41" t="str">
        <f t="shared" ref="M95" si="271">M90</f>
        <v>N/A</v>
      </c>
      <c r="N95" s="42">
        <f t="shared" ref="N95" si="272">M86</f>
        <v>0</v>
      </c>
      <c r="O95" s="41" t="str">
        <f t="shared" ref="O95" si="273">O90</f>
        <v>N/A</v>
      </c>
      <c r="P95" s="42">
        <f t="shared" ref="P95" si="274">O86</f>
        <v>0</v>
      </c>
      <c r="Q95" s="41" t="str">
        <f t="shared" si="249"/>
        <v>N/A</v>
      </c>
      <c r="R95" s="42">
        <f t="shared" si="250"/>
        <v>0</v>
      </c>
      <c r="S95" s="41" t="str">
        <f t="shared" si="251"/>
        <v>Chicken Fried Rice</v>
      </c>
      <c r="T95" s="42">
        <f t="shared" si="252"/>
        <v>0</v>
      </c>
      <c r="U95" s="41" t="str">
        <f t="shared" si="253"/>
        <v>Beef &amp; soba noodles</v>
      </c>
      <c r="V95" s="42">
        <f t="shared" si="254"/>
        <v>0</v>
      </c>
      <c r="W95" s="41" t="str">
        <f t="shared" si="255"/>
        <v>Pulled Pork Nachos</v>
      </c>
      <c r="X95" s="42">
        <f t="shared" si="256"/>
        <v>0</v>
      </c>
      <c r="Y95" s="41" t="str">
        <f t="shared" si="257"/>
        <v>Spaghetti Bolognese</v>
      </c>
      <c r="Z95" s="42">
        <f t="shared" si="258"/>
        <v>0</v>
      </c>
      <c r="AA95" s="41" t="str">
        <f t="shared" si="259"/>
        <v>N/A</v>
      </c>
      <c r="AB95" s="42">
        <f t="shared" si="260"/>
        <v>0</v>
      </c>
      <c r="AC95" s="41" t="str">
        <f t="shared" si="261"/>
        <v>Steak &amp; mash</v>
      </c>
      <c r="AD95" s="42">
        <f t="shared" si="262"/>
        <v>0</v>
      </c>
      <c r="AE95" s="41" t="str">
        <f t="shared" si="263"/>
        <v>N/A</v>
      </c>
      <c r="AF95" s="42">
        <f t="shared" si="264"/>
        <v>0</v>
      </c>
      <c r="AG95" s="41" t="str">
        <f t="shared" si="265"/>
        <v>N/A</v>
      </c>
      <c r="AH95" s="42">
        <f t="shared" si="266"/>
        <v>0</v>
      </c>
    </row>
    <row r="96" spans="3:34" x14ac:dyDescent="0.3">
      <c r="C96" s="218"/>
    </row>
    <row r="97" spans="3:3" x14ac:dyDescent="0.3">
      <c r="C97" s="218"/>
    </row>
    <row r="98" spans="3:3" x14ac:dyDescent="0.3">
      <c r="C98" s="218"/>
    </row>
    <row r="99" spans="3:3" x14ac:dyDescent="0.3">
      <c r="C99" s="218"/>
    </row>
    <row r="100" spans="3:3" x14ac:dyDescent="0.3">
      <c r="C100" s="218"/>
    </row>
    <row r="101" spans="3:3" x14ac:dyDescent="0.3">
      <c r="C101" s="218"/>
    </row>
    <row r="102" spans="3:3" x14ac:dyDescent="0.3">
      <c r="C102" s="218"/>
    </row>
    <row r="103" spans="3:3" x14ac:dyDescent="0.3">
      <c r="C103" s="218"/>
    </row>
    <row r="104" spans="3:3" x14ac:dyDescent="0.3">
      <c r="C104" s="218"/>
    </row>
    <row r="105" spans="3:3" x14ac:dyDescent="0.3">
      <c r="C105" s="218"/>
    </row>
    <row r="106" spans="3:3" x14ac:dyDescent="0.3">
      <c r="C106" s="218"/>
    </row>
    <row r="107" spans="3:3" x14ac:dyDescent="0.3">
      <c r="C107" s="218"/>
    </row>
    <row r="108" spans="3:3" x14ac:dyDescent="0.3">
      <c r="C108" s="218"/>
    </row>
    <row r="109" spans="3:3" x14ac:dyDescent="0.3">
      <c r="C109" s="218"/>
    </row>
    <row r="110" spans="3:3" x14ac:dyDescent="0.3">
      <c r="C110" s="218"/>
    </row>
    <row r="111" spans="3:3" x14ac:dyDescent="0.3">
      <c r="C111" s="218"/>
    </row>
    <row r="112" spans="3:3" x14ac:dyDescent="0.3">
      <c r="C112" s="218"/>
    </row>
    <row r="113" spans="3:3" x14ac:dyDescent="0.3">
      <c r="C113" s="218"/>
    </row>
    <row r="114" spans="3:3" x14ac:dyDescent="0.3">
      <c r="C114" s="218"/>
    </row>
    <row r="115" spans="3:3" x14ac:dyDescent="0.3">
      <c r="C115" s="218"/>
    </row>
    <row r="116" spans="3:3" x14ac:dyDescent="0.3">
      <c r="C116" s="218"/>
    </row>
    <row r="117" spans="3:3" x14ac:dyDescent="0.3">
      <c r="C117" s="218"/>
    </row>
    <row r="118" spans="3:3" x14ac:dyDescent="0.3">
      <c r="C118" s="218"/>
    </row>
    <row r="119" spans="3:3" x14ac:dyDescent="0.3">
      <c r="C119" s="218"/>
    </row>
    <row r="120" spans="3:3" x14ac:dyDescent="0.3">
      <c r="C120" s="218"/>
    </row>
    <row r="121" spans="3:3" x14ac:dyDescent="0.3">
      <c r="C121" s="218"/>
    </row>
    <row r="122" spans="3:3" x14ac:dyDescent="0.3">
      <c r="C122" s="218"/>
    </row>
    <row r="123" spans="3:3" x14ac:dyDescent="0.3">
      <c r="C123" s="218"/>
    </row>
    <row r="124" spans="3:3" x14ac:dyDescent="0.3">
      <c r="C124" s="218"/>
    </row>
    <row r="125" spans="3:3" x14ac:dyDescent="0.3">
      <c r="C125" s="218"/>
    </row>
    <row r="126" spans="3:3" x14ac:dyDescent="0.3">
      <c r="C126" s="218"/>
    </row>
    <row r="127" spans="3:3" x14ac:dyDescent="0.3">
      <c r="C127" s="218"/>
    </row>
    <row r="128" spans="3:3" x14ac:dyDescent="0.3">
      <c r="C128" s="218"/>
    </row>
    <row r="129" spans="3:3" x14ac:dyDescent="0.3">
      <c r="C129" s="218"/>
    </row>
    <row r="130" spans="3:3" x14ac:dyDescent="0.3">
      <c r="C130" s="218"/>
    </row>
    <row r="131" spans="3:3" x14ac:dyDescent="0.3">
      <c r="C131" s="218"/>
    </row>
    <row r="132" spans="3:3" x14ac:dyDescent="0.3">
      <c r="C132" s="218"/>
    </row>
    <row r="133" spans="3:3" x14ac:dyDescent="0.3">
      <c r="C133" s="218"/>
    </row>
    <row r="134" spans="3:3" x14ac:dyDescent="0.3">
      <c r="C134" s="218"/>
    </row>
    <row r="135" spans="3:3" x14ac:dyDescent="0.3">
      <c r="C135" s="218"/>
    </row>
    <row r="136" spans="3:3" x14ac:dyDescent="0.3">
      <c r="C136" s="218"/>
    </row>
    <row r="137" spans="3:3" x14ac:dyDescent="0.3">
      <c r="C137" s="218"/>
    </row>
    <row r="138" spans="3:3" x14ac:dyDescent="0.3">
      <c r="C138" s="218"/>
    </row>
    <row r="139" spans="3:3" x14ac:dyDescent="0.3">
      <c r="C139" s="218"/>
    </row>
    <row r="140" spans="3:3" x14ac:dyDescent="0.3">
      <c r="C140" s="218"/>
    </row>
    <row r="141" spans="3:3" x14ac:dyDescent="0.3">
      <c r="C141" s="218"/>
    </row>
    <row r="142" spans="3:3" x14ac:dyDescent="0.3">
      <c r="C142" s="218"/>
    </row>
    <row r="143" spans="3:3" x14ac:dyDescent="0.3">
      <c r="C143" s="218"/>
    </row>
    <row r="144" spans="3:3" x14ac:dyDescent="0.3">
      <c r="C144" s="218"/>
    </row>
    <row r="145" spans="3:3" x14ac:dyDescent="0.3">
      <c r="C145" s="218"/>
    </row>
    <row r="146" spans="3:3" x14ac:dyDescent="0.3">
      <c r="C146" s="218"/>
    </row>
    <row r="147" spans="3:3" x14ac:dyDescent="0.3">
      <c r="C147" s="218"/>
    </row>
    <row r="148" spans="3:3" x14ac:dyDescent="0.3">
      <c r="C148" s="218"/>
    </row>
    <row r="149" spans="3:3" x14ac:dyDescent="0.3">
      <c r="C149" s="218"/>
    </row>
    <row r="150" spans="3:3" x14ac:dyDescent="0.3">
      <c r="C150" s="218"/>
    </row>
    <row r="151" spans="3:3" x14ac:dyDescent="0.3">
      <c r="C151" s="218"/>
    </row>
    <row r="152" spans="3:3" x14ac:dyDescent="0.3">
      <c r="C152" s="218"/>
    </row>
    <row r="153" spans="3:3" x14ac:dyDescent="0.3">
      <c r="C153" s="218"/>
    </row>
    <row r="154" spans="3:3" x14ac:dyDescent="0.3">
      <c r="C154" s="218"/>
    </row>
    <row r="155" spans="3:3" x14ac:dyDescent="0.3">
      <c r="C155" s="218"/>
    </row>
    <row r="156" spans="3:3" x14ac:dyDescent="0.3">
      <c r="C156" s="218"/>
    </row>
    <row r="157" spans="3:3" x14ac:dyDescent="0.3">
      <c r="C157" s="218"/>
    </row>
    <row r="158" spans="3:3" x14ac:dyDescent="0.3">
      <c r="C158" s="218"/>
    </row>
    <row r="159" spans="3:3" x14ac:dyDescent="0.3">
      <c r="C159" s="218"/>
    </row>
    <row r="160" spans="3:3" x14ac:dyDescent="0.3">
      <c r="C160" s="218"/>
    </row>
    <row r="161" spans="3:3" x14ac:dyDescent="0.3">
      <c r="C161" s="218"/>
    </row>
    <row r="162" spans="3:3" x14ac:dyDescent="0.3">
      <c r="C162" s="218"/>
    </row>
    <row r="163" spans="3:3" x14ac:dyDescent="0.3">
      <c r="C163" s="218"/>
    </row>
    <row r="164" spans="3:3" x14ac:dyDescent="0.3">
      <c r="C164" s="218"/>
    </row>
    <row r="165" spans="3:3" x14ac:dyDescent="0.3">
      <c r="C165" s="218"/>
    </row>
    <row r="166" spans="3:3" x14ac:dyDescent="0.3">
      <c r="C166" s="218"/>
    </row>
    <row r="167" spans="3:3" x14ac:dyDescent="0.3">
      <c r="C167" s="218"/>
    </row>
    <row r="168" spans="3:3" x14ac:dyDescent="0.3">
      <c r="C168" s="218"/>
    </row>
    <row r="169" spans="3:3" x14ac:dyDescent="0.3">
      <c r="C169" s="218"/>
    </row>
    <row r="170" spans="3:3" x14ac:dyDescent="0.3">
      <c r="C170" s="218"/>
    </row>
    <row r="171" spans="3:3" x14ac:dyDescent="0.3">
      <c r="C171" s="218"/>
    </row>
    <row r="172" spans="3:3" x14ac:dyDescent="0.3">
      <c r="C172" s="218"/>
    </row>
    <row r="173" spans="3:3" x14ac:dyDescent="0.3">
      <c r="C173" s="218"/>
    </row>
    <row r="174" spans="3:3" x14ac:dyDescent="0.3">
      <c r="C174" s="218"/>
    </row>
    <row r="175" spans="3:3" x14ac:dyDescent="0.3">
      <c r="C175" s="218"/>
    </row>
    <row r="176" spans="3:3" x14ac:dyDescent="0.3">
      <c r="C176" s="218"/>
    </row>
    <row r="177" spans="3:3" x14ac:dyDescent="0.3">
      <c r="C177" s="218"/>
    </row>
    <row r="178" spans="3:3" x14ac:dyDescent="0.3">
      <c r="C178" s="218"/>
    </row>
    <row r="179" spans="3:3" x14ac:dyDescent="0.3">
      <c r="C179" s="218"/>
    </row>
    <row r="180" spans="3:3" x14ac:dyDescent="0.3">
      <c r="C180" s="218"/>
    </row>
    <row r="181" spans="3:3" x14ac:dyDescent="0.3">
      <c r="C181" s="218"/>
    </row>
    <row r="182" spans="3:3" x14ac:dyDescent="0.3">
      <c r="C182" s="218"/>
    </row>
    <row r="183" spans="3:3" x14ac:dyDescent="0.3">
      <c r="C183" s="218"/>
    </row>
    <row r="184" spans="3:3" x14ac:dyDescent="0.3">
      <c r="C184" s="218"/>
    </row>
    <row r="185" spans="3:3" x14ac:dyDescent="0.3">
      <c r="C185" s="218"/>
    </row>
    <row r="186" spans="3:3" x14ac:dyDescent="0.3">
      <c r="C186" s="218"/>
    </row>
    <row r="187" spans="3:3" x14ac:dyDescent="0.3">
      <c r="C187" s="218"/>
    </row>
    <row r="188" spans="3:3" x14ac:dyDescent="0.3">
      <c r="C188" s="218"/>
    </row>
    <row r="189" spans="3:3" x14ac:dyDescent="0.3">
      <c r="C189" s="218"/>
    </row>
    <row r="190" spans="3:3" x14ac:dyDescent="0.3">
      <c r="C190" s="218"/>
    </row>
    <row r="191" spans="3:3" x14ac:dyDescent="0.3">
      <c r="C191" s="218"/>
    </row>
    <row r="192" spans="3:3" x14ac:dyDescent="0.3">
      <c r="C192" s="218"/>
    </row>
    <row r="193" spans="3:3" x14ac:dyDescent="0.3">
      <c r="C193" s="218"/>
    </row>
    <row r="194" spans="3:3" x14ac:dyDescent="0.3">
      <c r="C194" s="218"/>
    </row>
    <row r="195" spans="3:3" x14ac:dyDescent="0.3">
      <c r="C195" s="218"/>
    </row>
    <row r="196" spans="3:3" x14ac:dyDescent="0.3">
      <c r="C196" s="218"/>
    </row>
    <row r="197" spans="3:3" x14ac:dyDescent="0.3">
      <c r="C197" s="218"/>
    </row>
    <row r="198" spans="3:3" x14ac:dyDescent="0.3">
      <c r="C198" s="218"/>
    </row>
    <row r="199" spans="3:3" x14ac:dyDescent="0.3">
      <c r="C199" s="218"/>
    </row>
    <row r="200" spans="3:3" x14ac:dyDescent="0.3">
      <c r="C200" s="218"/>
    </row>
    <row r="201" spans="3:3" x14ac:dyDescent="0.3">
      <c r="C201" s="218"/>
    </row>
    <row r="202" spans="3:3" x14ac:dyDescent="0.3">
      <c r="C202" s="218"/>
    </row>
    <row r="203" spans="3:3" x14ac:dyDescent="0.3">
      <c r="C203" s="218"/>
    </row>
    <row r="204" spans="3:3" x14ac:dyDescent="0.3">
      <c r="C204" s="218"/>
    </row>
    <row r="205" spans="3:3" x14ac:dyDescent="0.3">
      <c r="C205" s="218"/>
    </row>
    <row r="206" spans="3:3" x14ac:dyDescent="0.3">
      <c r="C206" s="218"/>
    </row>
    <row r="207" spans="3:3" x14ac:dyDescent="0.3">
      <c r="C207" s="218"/>
    </row>
    <row r="208" spans="3:3" x14ac:dyDescent="0.3">
      <c r="C208" s="218"/>
    </row>
    <row r="209" spans="3:3" x14ac:dyDescent="0.3">
      <c r="C209" s="218"/>
    </row>
    <row r="210" spans="3:3" x14ac:dyDescent="0.3">
      <c r="C210" s="218"/>
    </row>
    <row r="211" spans="3:3" x14ac:dyDescent="0.3">
      <c r="C211" s="218"/>
    </row>
    <row r="212" spans="3:3" x14ac:dyDescent="0.3">
      <c r="C212" s="218"/>
    </row>
    <row r="213" spans="3:3" x14ac:dyDescent="0.3">
      <c r="C213" s="218"/>
    </row>
    <row r="214" spans="3:3" x14ac:dyDescent="0.3">
      <c r="C214" s="218"/>
    </row>
    <row r="215" spans="3:3" x14ac:dyDescent="0.3">
      <c r="C215" s="218"/>
    </row>
    <row r="216" spans="3:3" x14ac:dyDescent="0.3">
      <c r="C216" s="218"/>
    </row>
    <row r="217" spans="3:3" x14ac:dyDescent="0.3">
      <c r="C217" s="218"/>
    </row>
    <row r="218" spans="3:3" x14ac:dyDescent="0.3">
      <c r="C218" s="218"/>
    </row>
    <row r="219" spans="3:3" x14ac:dyDescent="0.3">
      <c r="C219" s="218"/>
    </row>
    <row r="220" spans="3:3" x14ac:dyDescent="0.3">
      <c r="C220" s="218"/>
    </row>
    <row r="221" spans="3:3" x14ac:dyDescent="0.3">
      <c r="C221" s="218"/>
    </row>
    <row r="222" spans="3:3" x14ac:dyDescent="0.3">
      <c r="C222" s="218"/>
    </row>
    <row r="223" spans="3:3" x14ac:dyDescent="0.3">
      <c r="C223" s="218"/>
    </row>
    <row r="224" spans="3:3" x14ac:dyDescent="0.3">
      <c r="C224" s="218"/>
    </row>
    <row r="225" spans="3:3" x14ac:dyDescent="0.3">
      <c r="C225" s="218"/>
    </row>
    <row r="226" spans="3:3" x14ac:dyDescent="0.3">
      <c r="C226" s="218"/>
    </row>
    <row r="227" spans="3:3" x14ac:dyDescent="0.3">
      <c r="C227" s="218"/>
    </row>
    <row r="228" spans="3:3" x14ac:dyDescent="0.3">
      <c r="C228" s="218"/>
    </row>
    <row r="229" spans="3:3" x14ac:dyDescent="0.3">
      <c r="C229" s="218"/>
    </row>
    <row r="230" spans="3:3" x14ac:dyDescent="0.3">
      <c r="C230" s="218"/>
    </row>
    <row r="231" spans="3:3" x14ac:dyDescent="0.3">
      <c r="C231" s="218"/>
    </row>
    <row r="232" spans="3:3" x14ac:dyDescent="0.3">
      <c r="C232" s="218"/>
    </row>
    <row r="233" spans="3:3" x14ac:dyDescent="0.3">
      <c r="C233" s="218"/>
    </row>
    <row r="234" spans="3:3" x14ac:dyDescent="0.3">
      <c r="C234" s="218"/>
    </row>
    <row r="235" spans="3:3" x14ac:dyDescent="0.3">
      <c r="C235" s="218"/>
    </row>
    <row r="236" spans="3:3" x14ac:dyDescent="0.3">
      <c r="C236" s="218"/>
    </row>
    <row r="237" spans="3:3" x14ac:dyDescent="0.3">
      <c r="C237" s="218"/>
    </row>
    <row r="238" spans="3:3" x14ac:dyDescent="0.3">
      <c r="C238" s="218"/>
    </row>
    <row r="239" spans="3:3" x14ac:dyDescent="0.3">
      <c r="C239" s="218"/>
    </row>
    <row r="240" spans="3:3" x14ac:dyDescent="0.3">
      <c r="C240" s="218"/>
    </row>
    <row r="241" spans="3:3" x14ac:dyDescent="0.3">
      <c r="C241" s="218"/>
    </row>
    <row r="242" spans="3:3" x14ac:dyDescent="0.3">
      <c r="C242" s="218"/>
    </row>
    <row r="243" spans="3:3" x14ac:dyDescent="0.3">
      <c r="C243" s="218"/>
    </row>
    <row r="244" spans="3:3" x14ac:dyDescent="0.3">
      <c r="C244" s="218"/>
    </row>
    <row r="245" spans="3:3" x14ac:dyDescent="0.3">
      <c r="C245" s="218"/>
    </row>
    <row r="246" spans="3:3" x14ac:dyDescent="0.3">
      <c r="C246" s="218"/>
    </row>
    <row r="247" spans="3:3" x14ac:dyDescent="0.3">
      <c r="C247" s="218"/>
    </row>
    <row r="248" spans="3:3" x14ac:dyDescent="0.3">
      <c r="C248" s="218"/>
    </row>
    <row r="249" spans="3:3" x14ac:dyDescent="0.3">
      <c r="C249" s="218"/>
    </row>
    <row r="250" spans="3:3" x14ac:dyDescent="0.3">
      <c r="C250" s="218"/>
    </row>
    <row r="251" spans="3:3" x14ac:dyDescent="0.3">
      <c r="C251" s="218"/>
    </row>
    <row r="252" spans="3:3" x14ac:dyDescent="0.3">
      <c r="C252" s="218"/>
    </row>
    <row r="253" spans="3:3" x14ac:dyDescent="0.3">
      <c r="C253" s="218"/>
    </row>
    <row r="254" spans="3:3" x14ac:dyDescent="0.3">
      <c r="C254" s="218"/>
    </row>
    <row r="255" spans="3:3" x14ac:dyDescent="0.3">
      <c r="C255" s="218"/>
    </row>
    <row r="256" spans="3:3" x14ac:dyDescent="0.3">
      <c r="C256" s="218"/>
    </row>
    <row r="257" spans="3:3" x14ac:dyDescent="0.3">
      <c r="C257" s="218"/>
    </row>
    <row r="258" spans="3:3" x14ac:dyDescent="0.3">
      <c r="C258" s="218"/>
    </row>
    <row r="259" spans="3:3" x14ac:dyDescent="0.3">
      <c r="C259" s="218"/>
    </row>
  </sheetData>
  <mergeCells count="588">
    <mergeCell ref="AG5:AH5"/>
    <mergeCell ref="AG6:AH6"/>
    <mergeCell ref="AG7:AH7"/>
    <mergeCell ref="AA5:AB5"/>
    <mergeCell ref="AA6:AB6"/>
    <mergeCell ref="AA7:AB7"/>
    <mergeCell ref="AC5:AD5"/>
    <mergeCell ref="AC6:AD6"/>
    <mergeCell ref="AC7:AD7"/>
    <mergeCell ref="AE5:AF5"/>
    <mergeCell ref="AE6:AF6"/>
    <mergeCell ref="AE7:AF7"/>
    <mergeCell ref="U5:V5"/>
    <mergeCell ref="U6:V6"/>
    <mergeCell ref="U7:V7"/>
    <mergeCell ref="W5:X5"/>
    <mergeCell ref="W6:X6"/>
    <mergeCell ref="W7:X7"/>
    <mergeCell ref="Y6:Z6"/>
    <mergeCell ref="Y5:Z5"/>
    <mergeCell ref="Y7:Z7"/>
    <mergeCell ref="O5:P5"/>
    <mergeCell ref="O6:P6"/>
    <mergeCell ref="O7:P7"/>
    <mergeCell ref="Q7:R7"/>
    <mergeCell ref="Q6:R6"/>
    <mergeCell ref="Q5:R5"/>
    <mergeCell ref="S5:T5"/>
    <mergeCell ref="S6:T6"/>
    <mergeCell ref="S7:T7"/>
    <mergeCell ref="D2:E2"/>
    <mergeCell ref="I19:I21"/>
    <mergeCell ref="I24:I26"/>
    <mergeCell ref="K3:L3"/>
    <mergeCell ref="K4:L4"/>
    <mergeCell ref="K8:L8"/>
    <mergeCell ref="K9:L9"/>
    <mergeCell ref="K10:L10"/>
    <mergeCell ref="K11:L11"/>
    <mergeCell ref="K13:L13"/>
    <mergeCell ref="K15:L15"/>
    <mergeCell ref="K16:L16"/>
    <mergeCell ref="K17:L17"/>
    <mergeCell ref="I15:I17"/>
    <mergeCell ref="K5:L5"/>
    <mergeCell ref="K6:L6"/>
    <mergeCell ref="K7:L7"/>
    <mergeCell ref="M19:N19"/>
    <mergeCell ref="M20:N20"/>
    <mergeCell ref="M21:N21"/>
    <mergeCell ref="K19:L19"/>
    <mergeCell ref="K20:L20"/>
    <mergeCell ref="K21:L21"/>
    <mergeCell ref="M3:N3"/>
    <mergeCell ref="M4:N4"/>
    <mergeCell ref="M8:N8"/>
    <mergeCell ref="M9:N9"/>
    <mergeCell ref="M10:N10"/>
    <mergeCell ref="M11:N11"/>
    <mergeCell ref="M13:N13"/>
    <mergeCell ref="M5:N5"/>
    <mergeCell ref="M6:N6"/>
    <mergeCell ref="M7:N7"/>
    <mergeCell ref="S4:T4"/>
    <mergeCell ref="O21:P21"/>
    <mergeCell ref="Q3:R3"/>
    <mergeCell ref="Q4:R4"/>
    <mergeCell ref="Q8:R8"/>
    <mergeCell ref="Q9:R9"/>
    <mergeCell ref="Q10:R10"/>
    <mergeCell ref="Q11:R11"/>
    <mergeCell ref="Q13:R13"/>
    <mergeCell ref="Q17:R17"/>
    <mergeCell ref="Q19:R19"/>
    <mergeCell ref="O13:P13"/>
    <mergeCell ref="O15:P15"/>
    <mergeCell ref="O16:P16"/>
    <mergeCell ref="O17:P17"/>
    <mergeCell ref="O19:P19"/>
    <mergeCell ref="O20:P20"/>
    <mergeCell ref="O3:P3"/>
    <mergeCell ref="O4:P4"/>
    <mergeCell ref="O8:P8"/>
    <mergeCell ref="O9:P9"/>
    <mergeCell ref="O10:P10"/>
    <mergeCell ref="O11:P11"/>
    <mergeCell ref="Q15:R15"/>
    <mergeCell ref="AE4:AF4"/>
    <mergeCell ref="AC4:AD4"/>
    <mergeCell ref="AA4:AB4"/>
    <mergeCell ref="Y4:Z4"/>
    <mergeCell ref="W4:X4"/>
    <mergeCell ref="U4:V4"/>
    <mergeCell ref="AG13:AH13"/>
    <mergeCell ref="S3:T3"/>
    <mergeCell ref="U3:V3"/>
    <mergeCell ref="W3:X3"/>
    <mergeCell ref="Y3:Z3"/>
    <mergeCell ref="AA3:AB3"/>
    <mergeCell ref="AC3:AD3"/>
    <mergeCell ref="AE3:AF3"/>
    <mergeCell ref="AG3:AH3"/>
    <mergeCell ref="AG4:AH4"/>
    <mergeCell ref="U13:V13"/>
    <mergeCell ref="W13:X13"/>
    <mergeCell ref="Y13:Z13"/>
    <mergeCell ref="AA13:AB13"/>
    <mergeCell ref="AC13:AD13"/>
    <mergeCell ref="AE13:AF13"/>
    <mergeCell ref="S8:T8"/>
    <mergeCell ref="S9:T9"/>
    <mergeCell ref="AG8:AH8"/>
    <mergeCell ref="U9:V9"/>
    <mergeCell ref="U10:V10"/>
    <mergeCell ref="U11:V11"/>
    <mergeCell ref="W9:X9"/>
    <mergeCell ref="W10:X10"/>
    <mergeCell ref="W11:X11"/>
    <mergeCell ref="Y9:Z9"/>
    <mergeCell ref="Y10:Z10"/>
    <mergeCell ref="Y11:Z11"/>
    <mergeCell ref="U8:V8"/>
    <mergeCell ref="W8:X8"/>
    <mergeCell ref="Y8:Z8"/>
    <mergeCell ref="AA8:AB8"/>
    <mergeCell ref="AC8:AD8"/>
    <mergeCell ref="AE8:AF8"/>
    <mergeCell ref="AG11:AH11"/>
    <mergeCell ref="Q16:R16"/>
    <mergeCell ref="S15:T15"/>
    <mergeCell ref="S16:T16"/>
    <mergeCell ref="Y15:Z15"/>
    <mergeCell ref="Y16:Z16"/>
    <mergeCell ref="AA9:AB9"/>
    <mergeCell ref="AC9:AD9"/>
    <mergeCell ref="AE9:AF9"/>
    <mergeCell ref="AG9:AH9"/>
    <mergeCell ref="AA10:AB10"/>
    <mergeCell ref="AC10:AD10"/>
    <mergeCell ref="AE10:AF10"/>
    <mergeCell ref="AG10:AH10"/>
    <mergeCell ref="S10:T10"/>
    <mergeCell ref="S11:T11"/>
    <mergeCell ref="S13:T13"/>
    <mergeCell ref="U15:V15"/>
    <mergeCell ref="U16:V16"/>
    <mergeCell ref="AG15:AH15"/>
    <mergeCell ref="AG16:AH16"/>
    <mergeCell ref="U17:V17"/>
    <mergeCell ref="W15:X15"/>
    <mergeCell ref="W16:X16"/>
    <mergeCell ref="W17:X17"/>
    <mergeCell ref="AA11:AB11"/>
    <mergeCell ref="AC11:AD11"/>
    <mergeCell ref="AE11:AF11"/>
    <mergeCell ref="AE15:AF15"/>
    <mergeCell ref="AE16:AF16"/>
    <mergeCell ref="AE17:AF17"/>
    <mergeCell ref="AG17:AH17"/>
    <mergeCell ref="Y17:Z17"/>
    <mergeCell ref="AA15:AB15"/>
    <mergeCell ref="AA16:AB16"/>
    <mergeCell ref="AA17:AB17"/>
    <mergeCell ref="AC15:AD15"/>
    <mergeCell ref="AC16:AD16"/>
    <mergeCell ref="AC17:AD17"/>
    <mergeCell ref="W19:X19"/>
    <mergeCell ref="AE19:AF19"/>
    <mergeCell ref="W20:X20"/>
    <mergeCell ref="W21:X21"/>
    <mergeCell ref="Y19:Z19"/>
    <mergeCell ref="Y20:Z20"/>
    <mergeCell ref="Y21:Z21"/>
    <mergeCell ref="Q20:R20"/>
    <mergeCell ref="Q21:R21"/>
    <mergeCell ref="S19:T19"/>
    <mergeCell ref="S20:T20"/>
    <mergeCell ref="S21:T21"/>
    <mergeCell ref="U19:V19"/>
    <mergeCell ref="U20:V20"/>
    <mergeCell ref="U21:V21"/>
    <mergeCell ref="AG33:AH33"/>
    <mergeCell ref="AG29:AH29"/>
    <mergeCell ref="AE20:AF20"/>
    <mergeCell ref="AE21:AF21"/>
    <mergeCell ref="AG19:AH19"/>
    <mergeCell ref="AG20:AH20"/>
    <mergeCell ref="AG21:AH21"/>
    <mergeCell ref="AA19:AB19"/>
    <mergeCell ref="AA20:AB20"/>
    <mergeCell ref="AA21:AB21"/>
    <mergeCell ref="AC19:AD19"/>
    <mergeCell ref="AC20:AD20"/>
    <mergeCell ref="AC21:AD21"/>
    <mergeCell ref="AE31:AF31"/>
    <mergeCell ref="AG31:AH31"/>
    <mergeCell ref="AG30:AH30"/>
    <mergeCell ref="AC30:AD30"/>
    <mergeCell ref="AE30:AF30"/>
    <mergeCell ref="S31:T31"/>
    <mergeCell ref="U31:V31"/>
    <mergeCell ref="W31:X31"/>
    <mergeCell ref="Y31:Z31"/>
    <mergeCell ref="AA31:AB31"/>
    <mergeCell ref="U30:V30"/>
    <mergeCell ref="W30:X30"/>
    <mergeCell ref="Y30:Z30"/>
    <mergeCell ref="AA30:AB30"/>
    <mergeCell ref="S30:T30"/>
    <mergeCell ref="K31:L31"/>
    <mergeCell ref="M31:N31"/>
    <mergeCell ref="O31:P31"/>
    <mergeCell ref="Q31:R31"/>
    <mergeCell ref="K30:L30"/>
    <mergeCell ref="M30:N30"/>
    <mergeCell ref="O30:P30"/>
    <mergeCell ref="Q30:R30"/>
    <mergeCell ref="I29:I31"/>
    <mergeCell ref="K29:L29"/>
    <mergeCell ref="M29:N29"/>
    <mergeCell ref="S17:T17"/>
    <mergeCell ref="M15:N15"/>
    <mergeCell ref="M16:N16"/>
    <mergeCell ref="M17:N17"/>
    <mergeCell ref="W33:X33"/>
    <mergeCell ref="Y33:Z33"/>
    <mergeCell ref="AA33:AB33"/>
    <mergeCell ref="AC33:AD33"/>
    <mergeCell ref="AE33:AF33"/>
    <mergeCell ref="AA29:AB29"/>
    <mergeCell ref="AC29:AD29"/>
    <mergeCell ref="AE29:AF29"/>
    <mergeCell ref="M33:N33"/>
    <mergeCell ref="O33:P33"/>
    <mergeCell ref="Q33:R33"/>
    <mergeCell ref="O29:P29"/>
    <mergeCell ref="Q29:R29"/>
    <mergeCell ref="S29:T29"/>
    <mergeCell ref="U29:V29"/>
    <mergeCell ref="W29:X29"/>
    <mergeCell ref="Y29:Z29"/>
    <mergeCell ref="S33:T33"/>
    <mergeCell ref="U33:V33"/>
    <mergeCell ref="AC31:AD31"/>
    <mergeCell ref="AC34:AD34"/>
    <mergeCell ref="AE34:AF34"/>
    <mergeCell ref="AG34:AH34"/>
    <mergeCell ref="K34:L34"/>
    <mergeCell ref="M34:N34"/>
    <mergeCell ref="O34:P34"/>
    <mergeCell ref="Q34:R34"/>
    <mergeCell ref="S34:T34"/>
    <mergeCell ref="U34:V34"/>
    <mergeCell ref="AC35:AD35"/>
    <mergeCell ref="AE35:AF35"/>
    <mergeCell ref="AG35:AH35"/>
    <mergeCell ref="K35:L35"/>
    <mergeCell ref="M35:N35"/>
    <mergeCell ref="O35:P35"/>
    <mergeCell ref="Q35:R35"/>
    <mergeCell ref="S35:T35"/>
    <mergeCell ref="U35:V35"/>
    <mergeCell ref="I38:I40"/>
    <mergeCell ref="I43:I45"/>
    <mergeCell ref="K43:L43"/>
    <mergeCell ref="M43:N43"/>
    <mergeCell ref="O43:P43"/>
    <mergeCell ref="Q43:R43"/>
    <mergeCell ref="W35:X35"/>
    <mergeCell ref="Y35:Z35"/>
    <mergeCell ref="AA35:AB35"/>
    <mergeCell ref="K45:L45"/>
    <mergeCell ref="M45:N45"/>
    <mergeCell ref="O45:P45"/>
    <mergeCell ref="Q45:R45"/>
    <mergeCell ref="S45:T45"/>
    <mergeCell ref="U45:V45"/>
    <mergeCell ref="W45:X45"/>
    <mergeCell ref="Y45:Z45"/>
    <mergeCell ref="AA45:AB45"/>
    <mergeCell ref="I33:I35"/>
    <mergeCell ref="K33:L33"/>
    <mergeCell ref="W34:X34"/>
    <mergeCell ref="Y34:Z34"/>
    <mergeCell ref="AA34:AB34"/>
    <mergeCell ref="AE43:AF43"/>
    <mergeCell ref="AG43:AH43"/>
    <mergeCell ref="K44:L44"/>
    <mergeCell ref="M44:N44"/>
    <mergeCell ref="O44:P44"/>
    <mergeCell ref="Q44:R44"/>
    <mergeCell ref="S44:T44"/>
    <mergeCell ref="U44:V44"/>
    <mergeCell ref="W44:X44"/>
    <mergeCell ref="Y44:Z44"/>
    <mergeCell ref="S43:T43"/>
    <mergeCell ref="U43:V43"/>
    <mergeCell ref="W43:X43"/>
    <mergeCell ref="Y43:Z43"/>
    <mergeCell ref="AA43:AB43"/>
    <mergeCell ref="AC43:AD43"/>
    <mergeCell ref="AC45:AD45"/>
    <mergeCell ref="AE45:AF45"/>
    <mergeCell ref="AG45:AH45"/>
    <mergeCell ref="AA44:AB44"/>
    <mergeCell ref="AC44:AD44"/>
    <mergeCell ref="AE44:AF44"/>
    <mergeCell ref="AG44:AH44"/>
    <mergeCell ref="AG47:AH47"/>
    <mergeCell ref="K48:L48"/>
    <mergeCell ref="M48:N48"/>
    <mergeCell ref="O48:P48"/>
    <mergeCell ref="Q48:R48"/>
    <mergeCell ref="S48:T48"/>
    <mergeCell ref="U48:V48"/>
    <mergeCell ref="W48:X48"/>
    <mergeCell ref="Y48:Z48"/>
    <mergeCell ref="AA48:AB48"/>
    <mergeCell ref="U47:V47"/>
    <mergeCell ref="W47:X47"/>
    <mergeCell ref="Y47:Z47"/>
    <mergeCell ref="AA47:AB47"/>
    <mergeCell ref="AC47:AD47"/>
    <mergeCell ref="AE47:AF47"/>
    <mergeCell ref="K47:L47"/>
    <mergeCell ref="I52:I54"/>
    <mergeCell ref="AC48:AD48"/>
    <mergeCell ref="AE48:AF48"/>
    <mergeCell ref="AG48:AH48"/>
    <mergeCell ref="K49:L49"/>
    <mergeCell ref="M49:N49"/>
    <mergeCell ref="O49:P49"/>
    <mergeCell ref="Q49:R49"/>
    <mergeCell ref="S49:T49"/>
    <mergeCell ref="U49:V49"/>
    <mergeCell ref="W49:X49"/>
    <mergeCell ref="I47:I49"/>
    <mergeCell ref="M47:N47"/>
    <mergeCell ref="O47:P47"/>
    <mergeCell ref="Q47:R47"/>
    <mergeCell ref="S47:T47"/>
    <mergeCell ref="Y49:Z49"/>
    <mergeCell ref="AA49:AB49"/>
    <mergeCell ref="AC49:AD49"/>
    <mergeCell ref="AE49:AF49"/>
    <mergeCell ref="AG49:AH49"/>
    <mergeCell ref="AG57:AH57"/>
    <mergeCell ref="K58:L58"/>
    <mergeCell ref="M58:N58"/>
    <mergeCell ref="O58:P58"/>
    <mergeCell ref="Q58:R58"/>
    <mergeCell ref="S58:T58"/>
    <mergeCell ref="U58:V58"/>
    <mergeCell ref="W58:X58"/>
    <mergeCell ref="Y58:Z58"/>
    <mergeCell ref="AA58:AB58"/>
    <mergeCell ref="U57:V57"/>
    <mergeCell ref="W57:X57"/>
    <mergeCell ref="Y57:Z57"/>
    <mergeCell ref="AA57:AB57"/>
    <mergeCell ref="AC57:AD57"/>
    <mergeCell ref="AE57:AF57"/>
    <mergeCell ref="K57:L57"/>
    <mergeCell ref="M57:N57"/>
    <mergeCell ref="O57:P57"/>
    <mergeCell ref="Q57:R57"/>
    <mergeCell ref="S57:T57"/>
    <mergeCell ref="AC58:AD58"/>
    <mergeCell ref="AE58:AF58"/>
    <mergeCell ref="AG58:AH58"/>
    <mergeCell ref="K59:L59"/>
    <mergeCell ref="M59:N59"/>
    <mergeCell ref="O59:P59"/>
    <mergeCell ref="Q59:R59"/>
    <mergeCell ref="S59:T59"/>
    <mergeCell ref="U59:V59"/>
    <mergeCell ref="W59:X59"/>
    <mergeCell ref="Y59:Z59"/>
    <mergeCell ref="AA59:AB59"/>
    <mergeCell ref="AC59:AD59"/>
    <mergeCell ref="AE59:AF59"/>
    <mergeCell ref="AG59:AH59"/>
    <mergeCell ref="I61:I63"/>
    <mergeCell ref="K61:L61"/>
    <mergeCell ref="M61:N61"/>
    <mergeCell ref="O61:P61"/>
    <mergeCell ref="Q61:R61"/>
    <mergeCell ref="I57:I59"/>
    <mergeCell ref="AE61:AF61"/>
    <mergeCell ref="AG61:AH61"/>
    <mergeCell ref="K62:L62"/>
    <mergeCell ref="M62:N62"/>
    <mergeCell ref="O62:P62"/>
    <mergeCell ref="Q62:R62"/>
    <mergeCell ref="S62:T62"/>
    <mergeCell ref="U62:V62"/>
    <mergeCell ref="W62:X62"/>
    <mergeCell ref="Y62:Z62"/>
    <mergeCell ref="S61:T61"/>
    <mergeCell ref="U61:V61"/>
    <mergeCell ref="W61:X61"/>
    <mergeCell ref="Y61:Z61"/>
    <mergeCell ref="AA61:AB61"/>
    <mergeCell ref="AC61:AD61"/>
    <mergeCell ref="AE63:AF63"/>
    <mergeCell ref="AG63:AH63"/>
    <mergeCell ref="AA62:AB62"/>
    <mergeCell ref="AC62:AD62"/>
    <mergeCell ref="AE62:AF62"/>
    <mergeCell ref="AG62:AH62"/>
    <mergeCell ref="K63:L63"/>
    <mergeCell ref="M63:N63"/>
    <mergeCell ref="O63:P63"/>
    <mergeCell ref="Q63:R63"/>
    <mergeCell ref="S63:T63"/>
    <mergeCell ref="U63:V63"/>
    <mergeCell ref="I66:I68"/>
    <mergeCell ref="I71:I73"/>
    <mergeCell ref="K73:L73"/>
    <mergeCell ref="M73:N73"/>
    <mergeCell ref="O73:P73"/>
    <mergeCell ref="W63:X63"/>
    <mergeCell ref="Y63:Z63"/>
    <mergeCell ref="AA63:AB63"/>
    <mergeCell ref="AC63:AD63"/>
    <mergeCell ref="K72:L72"/>
    <mergeCell ref="M72:N72"/>
    <mergeCell ref="O72:P72"/>
    <mergeCell ref="Q72:R72"/>
    <mergeCell ref="S72:T72"/>
    <mergeCell ref="U72:V72"/>
    <mergeCell ref="K71:L71"/>
    <mergeCell ref="M71:N71"/>
    <mergeCell ref="O71:P71"/>
    <mergeCell ref="Q71:R71"/>
    <mergeCell ref="S71:T71"/>
    <mergeCell ref="U71:V71"/>
    <mergeCell ref="W72:X72"/>
    <mergeCell ref="Y72:Z72"/>
    <mergeCell ref="AA72:AB72"/>
    <mergeCell ref="AC72:AD72"/>
    <mergeCell ref="AE72:AF72"/>
    <mergeCell ref="AG72:AH72"/>
    <mergeCell ref="AA71:AB71"/>
    <mergeCell ref="AC71:AD71"/>
    <mergeCell ref="AE71:AF71"/>
    <mergeCell ref="AG71:AH71"/>
    <mergeCell ref="W71:X71"/>
    <mergeCell ref="Y71:Z71"/>
    <mergeCell ref="AC75:AD75"/>
    <mergeCell ref="AE75:AF75"/>
    <mergeCell ref="AG75:AH75"/>
    <mergeCell ref="K76:L76"/>
    <mergeCell ref="M76:N76"/>
    <mergeCell ref="O76:P76"/>
    <mergeCell ref="Q76:R76"/>
    <mergeCell ref="S76:T76"/>
    <mergeCell ref="U76:V76"/>
    <mergeCell ref="W76:X76"/>
    <mergeCell ref="K75:L75"/>
    <mergeCell ref="M75:N75"/>
    <mergeCell ref="O75:P75"/>
    <mergeCell ref="Q75:R75"/>
    <mergeCell ref="S75:T75"/>
    <mergeCell ref="U75:V75"/>
    <mergeCell ref="W75:X75"/>
    <mergeCell ref="Y75:Z75"/>
    <mergeCell ref="AA75:AB75"/>
    <mergeCell ref="AC73:AD73"/>
    <mergeCell ref="AE73:AF73"/>
    <mergeCell ref="AG73:AH73"/>
    <mergeCell ref="I75:I77"/>
    <mergeCell ref="K77:L77"/>
    <mergeCell ref="M77:N77"/>
    <mergeCell ref="O77:P77"/>
    <mergeCell ref="Q77:R77"/>
    <mergeCell ref="S77:T77"/>
    <mergeCell ref="U77:V77"/>
    <mergeCell ref="Q73:R73"/>
    <mergeCell ref="S73:T73"/>
    <mergeCell ref="U73:V73"/>
    <mergeCell ref="W73:X73"/>
    <mergeCell ref="Y73:Z73"/>
    <mergeCell ref="AA73:AB73"/>
    <mergeCell ref="Y76:Z76"/>
    <mergeCell ref="AA76:AB76"/>
    <mergeCell ref="AC76:AD76"/>
    <mergeCell ref="AE76:AF76"/>
    <mergeCell ref="AG76:AH76"/>
    <mergeCell ref="W77:X77"/>
    <mergeCell ref="Y77:Z77"/>
    <mergeCell ref="AA77:AB77"/>
    <mergeCell ref="W84:X84"/>
    <mergeCell ref="Y84:Z84"/>
    <mergeCell ref="AA84:AB84"/>
    <mergeCell ref="AC84:AD84"/>
    <mergeCell ref="AE84:AF84"/>
    <mergeCell ref="AG84:AH84"/>
    <mergeCell ref="AE77:AF77"/>
    <mergeCell ref="AG77:AH77"/>
    <mergeCell ref="I80:I82"/>
    <mergeCell ref="I84:I86"/>
    <mergeCell ref="K84:L84"/>
    <mergeCell ref="M84:N84"/>
    <mergeCell ref="O84:P84"/>
    <mergeCell ref="Q84:R84"/>
    <mergeCell ref="S84:T84"/>
    <mergeCell ref="U84:V84"/>
    <mergeCell ref="AC77:AD77"/>
    <mergeCell ref="W85:X85"/>
    <mergeCell ref="Y85:Z85"/>
    <mergeCell ref="AA85:AB85"/>
    <mergeCell ref="AC85:AD85"/>
    <mergeCell ref="AE85:AF85"/>
    <mergeCell ref="AG85:AH85"/>
    <mergeCell ref="K85:L85"/>
    <mergeCell ref="M85:N85"/>
    <mergeCell ref="O85:P85"/>
    <mergeCell ref="Q85:R85"/>
    <mergeCell ref="S85:T85"/>
    <mergeCell ref="U85:V85"/>
    <mergeCell ref="W86:X86"/>
    <mergeCell ref="Y86:Z86"/>
    <mergeCell ref="AA86:AB86"/>
    <mergeCell ref="AC86:AD86"/>
    <mergeCell ref="Y89:Z89"/>
    <mergeCell ref="AA89:AB89"/>
    <mergeCell ref="AE86:AF86"/>
    <mergeCell ref="AG86:AH86"/>
    <mergeCell ref="K86:L86"/>
    <mergeCell ref="M86:N86"/>
    <mergeCell ref="O86:P86"/>
    <mergeCell ref="Q86:R86"/>
    <mergeCell ref="S86:T86"/>
    <mergeCell ref="U86:V86"/>
    <mergeCell ref="AG88:AH88"/>
    <mergeCell ref="U88:V88"/>
    <mergeCell ref="W88:X88"/>
    <mergeCell ref="Y88:Z88"/>
    <mergeCell ref="AA88:AB88"/>
    <mergeCell ref="AC88:AD88"/>
    <mergeCell ref="AE88:AF88"/>
    <mergeCell ref="K88:L88"/>
    <mergeCell ref="M88:N88"/>
    <mergeCell ref="O88:P88"/>
    <mergeCell ref="Q88:R88"/>
    <mergeCell ref="S88:T88"/>
    <mergeCell ref="Y90:Z90"/>
    <mergeCell ref="AA90:AB90"/>
    <mergeCell ref="AC90:AD90"/>
    <mergeCell ref="AE90:AF90"/>
    <mergeCell ref="AG90:AH90"/>
    <mergeCell ref="I93:I95"/>
    <mergeCell ref="AC89:AD89"/>
    <mergeCell ref="AE89:AF89"/>
    <mergeCell ref="AG89:AH89"/>
    <mergeCell ref="K90:L90"/>
    <mergeCell ref="M90:N90"/>
    <mergeCell ref="O90:P90"/>
    <mergeCell ref="Q90:R90"/>
    <mergeCell ref="S90:T90"/>
    <mergeCell ref="U90:V90"/>
    <mergeCell ref="W90:X90"/>
    <mergeCell ref="I88:I90"/>
    <mergeCell ref="K89:L89"/>
    <mergeCell ref="M89:N89"/>
    <mergeCell ref="O89:P89"/>
    <mergeCell ref="Q89:R89"/>
    <mergeCell ref="S89:T89"/>
    <mergeCell ref="U89:V89"/>
    <mergeCell ref="W89:X89"/>
    <mergeCell ref="B32:B33"/>
    <mergeCell ref="B35:B36"/>
    <mergeCell ref="B38:B39"/>
    <mergeCell ref="B41:B42"/>
    <mergeCell ref="B44:B45"/>
    <mergeCell ref="B47:B48"/>
    <mergeCell ref="B50:B51"/>
    <mergeCell ref="B2:B3"/>
    <mergeCell ref="B8:B9"/>
    <mergeCell ref="B11:B12"/>
    <mergeCell ref="B14:B15"/>
    <mergeCell ref="B17:B18"/>
    <mergeCell ref="B20:B21"/>
    <mergeCell ref="B23:B24"/>
    <mergeCell ref="B26:B27"/>
    <mergeCell ref="B29:B30"/>
    <mergeCell ref="B5:B6"/>
  </mergeCells>
  <phoneticPr fontId="2" type="noConversion"/>
  <dataValidations count="16">
    <dataValidation type="list" allowBlank="1" showInputMessage="1" showErrorMessage="1" sqref="D2" xr:uid="{30375B34-984A-442F-93CF-9D5D14FFC21A}">
      <formula1>INDIRECT("tour_number")</formula1>
    </dataValidation>
    <dataValidation type="list" allowBlank="1" showInputMessage="1" showErrorMessage="1" sqref="K9:K11 M9:M11 O9:O11 Q9:Q11 S9:S11 U9:U11 W9:W11 Y9:Y11 AG9:AG11 AA9:AA11 AC9:AC11 AE9:AE11" xr:uid="{679CF357-37E9-4B68-BFB3-F2307175BEE3}">
      <formula1>INDIRECT("yes_no")</formula1>
    </dataValidation>
    <dataValidation type="list" allowBlank="1" showInputMessage="1" showErrorMessage="1" sqref="K19:N19 O19:AH21 K88:AH88" xr:uid="{A7C7C52A-2031-49F9-AECF-6456787D3146}">
      <formula1>INDIRECT("breakfast_menu")</formula1>
    </dataValidation>
    <dataValidation type="list" allowBlank="1" showInputMessage="1" showErrorMessage="1" sqref="K20:N20 K89:AH89" xr:uid="{81EC20AC-D5DD-4C72-BA19-169482C2F2B6}">
      <formula1>INDIRECT("lunch_menu")</formula1>
    </dataValidation>
    <dataValidation type="list" allowBlank="1" showInputMessage="1" showErrorMessage="1" sqref="K21:N21 K90:AH90" xr:uid="{9D9514F4-2781-4A9B-B5A2-030FDD9B425C}">
      <formula1>INDIRECT("dinner_menu")</formula1>
    </dataValidation>
    <dataValidation type="list" allowBlank="1" showInputMessage="1" showErrorMessage="1" sqref="K33:AH33 K61:AH61" xr:uid="{D5CCDC97-0832-4E6F-B144-C76D558CF2FA}">
      <formula1>INDIRECT("breakfast_menu_li")</formula1>
    </dataValidation>
    <dataValidation type="list" allowBlank="1" showInputMessage="1" showErrorMessage="1" sqref="K34:AH34" xr:uid="{8EC49724-89E8-4BA1-BE3F-DC62946AF416}">
      <formula1>INDIRECT("lunch_menu_gf")</formula1>
    </dataValidation>
    <dataValidation type="list" allowBlank="1" showInputMessage="1" showErrorMessage="1" sqref="K35:AH35" xr:uid="{6BCA4408-BD49-4FA0-A66E-6821912CCB21}">
      <formula1>INDIRECT("dinner_menu_gf")</formula1>
    </dataValidation>
    <dataValidation type="list" allowBlank="1" showInputMessage="1" showErrorMessage="1" sqref="K47:AH47" xr:uid="{2260508C-7FE0-400C-AF38-218A33FE3054}">
      <formula1>INDIRECT("breakfast_menu_nn")</formula1>
    </dataValidation>
    <dataValidation type="list" allowBlank="1" showInputMessage="1" showErrorMessage="1" sqref="K48:AH48" xr:uid="{C1F0B5B1-38A2-41CB-BF8E-101F84996CC9}">
      <formula1>INDIRECT("lunch_menu_nn")</formula1>
    </dataValidation>
    <dataValidation type="list" allowBlank="1" showInputMessage="1" showErrorMessage="1" sqref="K49:AH49" xr:uid="{D708469B-2C46-49D1-80D5-31D0E9EC42E8}">
      <formula1>INDIRECT("dinner_menu_nn")</formula1>
    </dataValidation>
    <dataValidation type="list" allowBlank="1" showInputMessage="1" showErrorMessage="1" sqref="K62:AH62" xr:uid="{636EE5AE-D6CA-4188-8468-F9D4455428F7}">
      <formula1>INDIRECT("lunch_menu_li")</formula1>
    </dataValidation>
    <dataValidation type="list" allowBlank="1" showInputMessage="1" showErrorMessage="1" sqref="K63:AH63" xr:uid="{E8D5F82F-93BB-4C6A-9952-79906AECFD44}">
      <formula1>INDIRECT("dinner_menu_li")</formula1>
    </dataValidation>
    <dataValidation type="list" allowBlank="1" showInputMessage="1" showErrorMessage="1" sqref="K75:AH75" xr:uid="{5B8C8482-3FA2-4EF3-8A31-14E4A507CE9B}">
      <formula1>INDIRECT("breakfast_menu_cli")</formula1>
    </dataValidation>
    <dataValidation type="list" allowBlank="1" showInputMessage="1" showErrorMessage="1" sqref="K76:AH76" xr:uid="{EE351278-0714-4AAC-AE8E-D4EA745A13CE}">
      <formula1>INDIRECT("lunch_menu_cli")</formula1>
    </dataValidation>
    <dataValidation type="list" allowBlank="1" showInputMessage="1" showErrorMessage="1" sqref="K77:AH77" xr:uid="{E9349AB5-33DE-44A4-A4FA-30B841E8CB72}">
      <formula1>INDIRECT("dinner_menu_cli")</formula1>
    </dataValidation>
  </dataValidations>
  <hyperlinks>
    <hyperlink ref="B2" location="Panel!C4" display="HOME" xr:uid="{FD690DA8-9634-4080-B68A-A898CE9DC3F6}"/>
    <hyperlink ref="B5" location="Panel!C4" display="HOME" xr:uid="{74B5A8E7-A591-4528-BBEC-D6D6CD429798}"/>
    <hyperlink ref="B17" location="Panel!C4" display="HOME" xr:uid="{00883D59-F77E-4A70-AEB8-475B276C24A4}"/>
    <hyperlink ref="B20" location="Panel!C4" display="HOME" xr:uid="{A9D86B0C-33DD-4F81-9EE7-7F642B32F657}"/>
    <hyperlink ref="B23" location="Panel!C4" display="HOME" xr:uid="{DE92593F-3E80-4083-9FC1-0443035BC43B}"/>
    <hyperlink ref="B5:B6" location="data_formula_legend!A1" display="DATA" xr:uid="{AB587FA2-B065-415B-B197-A069712DD63F}"/>
    <hyperlink ref="B17:B18" location="day_1!A1" display="DAY 1" xr:uid="{86650BE2-BE6F-4DC4-9FA1-820D55E70FDC}"/>
    <hyperlink ref="B8" location="Panel!C4" display="HOME" xr:uid="{99E0DE2C-2A30-4B16-B684-A92BF9E8B772}"/>
    <hyperlink ref="B8:B9" location="Runsheet!A1" display="RUNSHEET" xr:uid="{D458AEF2-53B6-4FC7-A860-F45BB3B7B411}"/>
    <hyperlink ref="B20:B21" location="day_2!A1" display="DAY 2" xr:uid="{B1374819-40D6-43D9-A5B5-3512A393F281}"/>
    <hyperlink ref="B23:B24" location="day_3!A1" display="DAY 3" xr:uid="{31A3E5E0-17EF-4271-970B-901D53156445}"/>
    <hyperlink ref="B2:B3" location="HOME!A1" display="HOME" xr:uid="{CC6B2896-1614-48AA-AD08-8F711DFA1C34}"/>
    <hyperlink ref="B26" location="Panel!C4" display="HOME" xr:uid="{889B83EC-DB60-4C1C-9862-A78D54FA4C38}"/>
    <hyperlink ref="B26:B27" location="day_5!A1" display="DAY 4" xr:uid="{65E28F60-371A-40D2-B3B0-8009B3756593}"/>
    <hyperlink ref="B29" location="Panel!C4" display="HOME" xr:uid="{9D7DB107-A839-425D-ADEB-51D87E655550}"/>
    <hyperlink ref="B29:B30" location="day_5!A1" display="DAY 5" xr:uid="{946A85E5-0858-44E5-B55E-7B7DBBF5F54F}"/>
    <hyperlink ref="B32" location="Panel!C4" display="HOME" xr:uid="{AF039A12-9DE5-44C0-9314-1F8002C946C4}"/>
    <hyperlink ref="B32:B33" location="day_6!A1" display="DAY 6" xr:uid="{E57505F7-CBBD-4B02-8DBF-CE1A4C3D6725}"/>
    <hyperlink ref="B14:B15" location="'Food Serves'!A1" display="FOOD SERVES" xr:uid="{9BE665C5-B838-447B-8EE0-F9DE48E1426A}"/>
    <hyperlink ref="B11:B12" location="'Rest Runsheet Food'!A1" display="RESTAURANT RUNSHEET" xr:uid="{6AD85D70-992B-45C8-8DC2-4AFF40CA66A8}"/>
    <hyperlink ref="B14" location="Panel!C4" display="HOME" xr:uid="{74D4F7FF-8688-4D38-AD2B-8C20A5507937}"/>
    <hyperlink ref="B11" location="Panel!C4" display="HOME" xr:uid="{CB23A184-C90E-4563-96C1-41A88F791A00}"/>
    <hyperlink ref="B35" location="Panel!C4" display="HOME" xr:uid="{6AB1C9C2-607A-4BB9-9833-41C404A9DC2D}"/>
    <hyperlink ref="B35:B36" location="day_7!A1" display="DAY 7" xr:uid="{B0290134-E758-442E-A0A4-EF4D0BCB43F4}"/>
    <hyperlink ref="B38" location="Panel!C4" display="HOME" xr:uid="{7CB0C3F5-4FF5-46DD-A306-32A67658FBBE}"/>
    <hyperlink ref="B38:B39" location="day_8!A1" display="DAY 8" xr:uid="{21D36285-C3C4-4DE6-9E6A-B3937555ABD6}"/>
    <hyperlink ref="B41" location="Panel!C4" display="HOME" xr:uid="{E67FD6CA-1788-417F-8C48-E224BE1538B1}"/>
    <hyperlink ref="B41:B42" location="day_9!A1" display="DAY 9" xr:uid="{F3E48592-10D6-41C3-878C-EB8FF6F79602}"/>
    <hyperlink ref="B44" location="Panel!C4" display="HOME" xr:uid="{6EF4A641-C747-4B9C-9997-24AA18D7A882}"/>
    <hyperlink ref="B44:B45" location="day_10!A1" display="DAY 10" xr:uid="{4797CC8F-2E15-4FBF-ACEF-828A4D2E9B30}"/>
    <hyperlink ref="B47" location="Panel!C4" display="HOME" xr:uid="{07E718EB-9AD3-4802-9054-63F6F2EBA990}"/>
    <hyperlink ref="B47:B48" location="day_11!A1" display="DAY 11" xr:uid="{50FE8173-06C9-4A93-9F85-D87C925785F6}"/>
    <hyperlink ref="B50" location="Panel!C4" display="HOME" xr:uid="{5D9534F4-BDDA-4B69-BC62-E1DFFA459A8C}"/>
    <hyperlink ref="B50:B51" location="day_12!A1" display="DAY 12" xr:uid="{E382183D-9AED-4B51-A967-A01C0B696EDC}"/>
  </hyperlinks>
  <pageMargins left="0.7" right="0.7" top="0.75" bottom="0.75" header="0.3" footer="0.3"/>
  <pageSetup orientation="portrait" horizontalDpi="1200" verticalDpi="1200" r:id="rId1"/>
  <ignoredErrors>
    <ignoredError sqref="U43:V45" formula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4A7DC-88EF-40D2-88FF-1D3650D3D374}">
  <sheetPr codeName="Sheet3">
    <pageSetUpPr fitToPage="1"/>
  </sheetPr>
  <dimension ref="A1:J259"/>
  <sheetViews>
    <sheetView topLeftCell="A7" workbookViewId="0">
      <selection activeCell="H33" sqref="H33"/>
    </sheetView>
  </sheetViews>
  <sheetFormatPr defaultRowHeight="15.6" x14ac:dyDescent="0.3"/>
  <cols>
    <col min="1" max="1" width="1.77734375" style="216" customWidth="1"/>
    <col min="2" max="2" width="15.77734375" style="217" customWidth="1"/>
    <col min="3" max="3" width="1.77734375" style="216" customWidth="1"/>
    <col min="4" max="4" width="19.77734375" customWidth="1"/>
    <col min="5" max="5" width="24.77734375" bestFit="1" customWidth="1"/>
    <col min="6" max="6" width="22.6640625" bestFit="1" customWidth="1"/>
    <col min="7" max="7" width="22.21875" bestFit="1" customWidth="1"/>
    <col min="8" max="8" width="27.33203125" bestFit="1" customWidth="1"/>
    <col min="9" max="9" width="34.21875" bestFit="1" customWidth="1"/>
    <col min="10" max="10" width="31.6640625" bestFit="1" customWidth="1"/>
    <col min="11" max="11" width="25.33203125" bestFit="1" customWidth="1"/>
    <col min="12" max="12" width="28.109375" bestFit="1" customWidth="1"/>
    <col min="13" max="14" width="21.5546875" bestFit="1" customWidth="1"/>
    <col min="15" max="15" width="24.5546875" bestFit="1" customWidth="1"/>
    <col min="16" max="16" width="22.44140625" bestFit="1" customWidth="1"/>
    <col min="17" max="17" width="14.44140625" bestFit="1" customWidth="1"/>
  </cols>
  <sheetData>
    <row r="1" spans="1:10" ht="16.2" thickBot="1" x14ac:dyDescent="0.35">
      <c r="A1" s="212"/>
      <c r="B1" s="213"/>
      <c r="C1" s="212"/>
    </row>
    <row r="2" spans="1:10" ht="15" customHeight="1" thickTop="1" x14ac:dyDescent="0.3">
      <c r="A2" s="212"/>
      <c r="B2" s="318" t="s">
        <v>264</v>
      </c>
      <c r="C2" s="212"/>
      <c r="H2" s="4"/>
    </row>
    <row r="3" spans="1:10" ht="15" customHeight="1" thickBot="1" x14ac:dyDescent="0.35">
      <c r="A3" s="212"/>
      <c r="B3" s="319"/>
      <c r="C3" s="212"/>
    </row>
    <row r="4" spans="1:10" ht="16.8" thickTop="1" thickBot="1" x14ac:dyDescent="0.35">
      <c r="A4" s="212"/>
      <c r="B4" s="213"/>
      <c r="C4" s="212"/>
    </row>
    <row r="5" spans="1:10" ht="15" customHeight="1" thickTop="1" x14ac:dyDescent="0.3">
      <c r="A5" s="212"/>
      <c r="B5" s="320" t="s">
        <v>247</v>
      </c>
      <c r="C5" s="212"/>
    </row>
    <row r="6" spans="1:10" ht="15" customHeight="1" thickBot="1" x14ac:dyDescent="0.35">
      <c r="A6" s="212"/>
      <c r="B6" s="321"/>
      <c r="C6" s="212"/>
    </row>
    <row r="7" spans="1:10" ht="16.8" thickTop="1" thickBot="1" x14ac:dyDescent="0.35">
      <c r="A7" s="214"/>
      <c r="B7" s="213"/>
      <c r="C7" s="214"/>
    </row>
    <row r="8" spans="1:10" ht="15" customHeight="1" thickTop="1" x14ac:dyDescent="0.3">
      <c r="A8" s="212"/>
      <c r="B8" s="318" t="s">
        <v>265</v>
      </c>
      <c r="C8" s="212"/>
      <c r="D8" s="3"/>
    </row>
    <row r="9" spans="1:10" ht="15" customHeight="1" thickBot="1" x14ac:dyDescent="0.35">
      <c r="A9" s="212"/>
      <c r="B9" s="319"/>
      <c r="C9" s="215"/>
    </row>
    <row r="10" spans="1:10" ht="16.8" thickTop="1" thickBot="1" x14ac:dyDescent="0.35">
      <c r="A10" s="212"/>
      <c r="B10" s="213"/>
      <c r="C10" s="215"/>
      <c r="D10" s="1" t="s">
        <v>31</v>
      </c>
      <c r="E10" s="278">
        <f>data_formula_legend!E3</f>
        <v>44786</v>
      </c>
      <c r="F10" s="279">
        <f>E10+1</f>
        <v>44787</v>
      </c>
      <c r="G10" s="279">
        <f t="shared" ref="G10:J10" si="0">F10+1</f>
        <v>44788</v>
      </c>
      <c r="H10" s="279">
        <f t="shared" si="0"/>
        <v>44789</v>
      </c>
      <c r="I10" s="279">
        <f t="shared" si="0"/>
        <v>44790</v>
      </c>
      <c r="J10" s="279">
        <f t="shared" si="0"/>
        <v>44791</v>
      </c>
    </row>
    <row r="11" spans="1:10" ht="15" customHeight="1" thickTop="1" x14ac:dyDescent="0.3">
      <c r="A11" s="212"/>
      <c r="B11" s="318" t="s">
        <v>511</v>
      </c>
      <c r="C11" s="215"/>
      <c r="D11" s="1" t="s">
        <v>32</v>
      </c>
      <c r="E11" s="9" t="s">
        <v>29</v>
      </c>
      <c r="F11" s="9" t="s">
        <v>0</v>
      </c>
      <c r="G11" s="9" t="s">
        <v>2</v>
      </c>
      <c r="H11" s="9" t="s">
        <v>3</v>
      </c>
      <c r="I11" s="9" t="s">
        <v>4</v>
      </c>
      <c r="J11" s="9" t="s">
        <v>5</v>
      </c>
    </row>
    <row r="12" spans="1:10" ht="14.4" customHeight="1" thickBot="1" x14ac:dyDescent="0.35">
      <c r="A12" s="212"/>
      <c r="B12" s="319"/>
      <c r="C12" s="215"/>
      <c r="D12" s="29" t="s">
        <v>166</v>
      </c>
      <c r="E12" s="8" t="str">
        <f>data_formula_legend!E65</f>
        <v>Mena Creek Flower House</v>
      </c>
      <c r="F12" s="8" t="str">
        <f>data_formula_legend!E72</f>
        <v>Chillagoe Cabins</v>
      </c>
      <c r="G12" s="8" t="str">
        <f>data_formula_legend!E78</f>
        <v>Ferntrees</v>
      </c>
      <c r="H12" s="8" t="str">
        <f>data_formula_legend!E84</f>
        <v>Milkwood Lodge</v>
      </c>
      <c r="I12" s="8" t="str">
        <f>data_formula_legend!E90</f>
        <v>Wildwishes</v>
      </c>
      <c r="J12" s="8" t="str">
        <f>data_formula_legend!E96</f>
        <v>GreenHoose</v>
      </c>
    </row>
    <row r="13" spans="1:10" ht="14.4" customHeight="1" thickTop="1" thickBot="1" x14ac:dyDescent="0.35">
      <c r="A13" s="212"/>
      <c r="B13" s="213"/>
      <c r="C13" s="215"/>
      <c r="D13" s="29" t="s">
        <v>167</v>
      </c>
      <c r="E13" s="8" t="str">
        <f>data_formula_legend!E66</f>
        <v>Paronella Park Cabin</v>
      </c>
      <c r="F13" s="8" t="str">
        <f>data_formula_legend!E73</f>
        <v>Chillagoe Ecolodge</v>
      </c>
      <c r="G13" s="8" t="str">
        <f>data_formula_legend!E79</f>
        <v>A None</v>
      </c>
      <c r="H13" s="8" t="str">
        <f>data_formula_legend!E85</f>
        <v>River of Gold Motel</v>
      </c>
      <c r="I13" s="8" t="str">
        <f>data_formula_legend!E91</f>
        <v>A None</v>
      </c>
      <c r="J13" s="8" t="str">
        <f>data_formula_legend!E97</f>
        <v>A None</v>
      </c>
    </row>
    <row r="14" spans="1:10" ht="14.4" customHeight="1" thickTop="1" x14ac:dyDescent="0.3">
      <c r="A14" s="212"/>
      <c r="B14" s="318" t="s">
        <v>512</v>
      </c>
      <c r="C14" s="215"/>
      <c r="D14" s="29" t="s">
        <v>168</v>
      </c>
      <c r="E14" s="8" t="str">
        <f>data_formula_legend!E67</f>
        <v>Mena Creek Hotel</v>
      </c>
      <c r="F14" s="8" t="str">
        <f>data_formula_legend!E74</f>
        <v>Cockatoo Hotel</v>
      </c>
      <c r="G14" s="8" t="str">
        <f>data_formula_legend!E80</f>
        <v>A None</v>
      </c>
      <c r="H14" s="8" t="str">
        <f>data_formula_legend!E86</f>
        <v>A None</v>
      </c>
      <c r="I14" s="8" t="str">
        <f>data_formula_legend!E92</f>
        <v>A None</v>
      </c>
      <c r="J14" s="8" t="str">
        <f>data_formula_legend!E98</f>
        <v>A None</v>
      </c>
    </row>
    <row r="15" spans="1:10" ht="15" customHeight="1" thickBot="1" x14ac:dyDescent="0.35">
      <c r="A15" s="212"/>
      <c r="B15" s="319"/>
      <c r="C15" s="215"/>
      <c r="D15" s="29" t="s">
        <v>173</v>
      </c>
      <c r="E15" s="8">
        <f>data_formula_legend!E68</f>
        <v>0</v>
      </c>
      <c r="F15" s="8">
        <f>data_formula_legend!E75</f>
        <v>0</v>
      </c>
      <c r="G15" s="8">
        <f>data_formula_legend!E81</f>
        <v>0</v>
      </c>
      <c r="H15" s="8">
        <f>data_formula_legend!E87</f>
        <v>0</v>
      </c>
      <c r="I15" s="8">
        <f>data_formula_legend!E93</f>
        <v>0</v>
      </c>
      <c r="J15" s="8" t="str">
        <f>data_formula_legend!E99</f>
        <v>A None</v>
      </c>
    </row>
    <row r="16" spans="1:10" s="53" customFormat="1" ht="16.8" thickTop="1" thickBot="1" x14ac:dyDescent="0.35">
      <c r="A16" s="212"/>
      <c r="B16" s="213"/>
      <c r="C16" s="215"/>
      <c r="D16" s="58" t="s">
        <v>145</v>
      </c>
      <c r="E16" s="13" t="s">
        <v>27</v>
      </c>
      <c r="F16" s="13"/>
      <c r="G16" s="13" t="s">
        <v>151</v>
      </c>
      <c r="H16" s="13" t="s">
        <v>23</v>
      </c>
      <c r="I16" s="13" t="s">
        <v>12</v>
      </c>
      <c r="J16" s="13" t="s">
        <v>79</v>
      </c>
    </row>
    <row r="17" spans="1:10" s="55" customFormat="1" ht="15" customHeight="1" thickTop="1" x14ac:dyDescent="0.3">
      <c r="A17" s="212"/>
      <c r="B17" s="318" t="s">
        <v>266</v>
      </c>
      <c r="C17" s="215"/>
      <c r="D17" s="59" t="s">
        <v>147</v>
      </c>
      <c r="E17" s="54" t="s">
        <v>153</v>
      </c>
      <c r="F17" s="54" t="s">
        <v>78</v>
      </c>
      <c r="G17" s="54"/>
      <c r="H17" s="54" t="s">
        <v>144</v>
      </c>
      <c r="I17" s="54" t="s">
        <v>80</v>
      </c>
      <c r="J17" s="54" t="s">
        <v>91</v>
      </c>
    </row>
    <row r="18" spans="1:10" s="57" customFormat="1" ht="15" customHeight="1" thickBot="1" x14ac:dyDescent="0.35">
      <c r="A18" s="212"/>
      <c r="B18" s="319"/>
      <c r="C18" s="215"/>
      <c r="D18" s="60" t="s">
        <v>146</v>
      </c>
      <c r="E18" s="56" t="s">
        <v>152</v>
      </c>
      <c r="F18" s="56" t="s">
        <v>151</v>
      </c>
      <c r="G18" s="56" t="s">
        <v>148</v>
      </c>
      <c r="H18" s="56" t="s">
        <v>22</v>
      </c>
      <c r="I18" s="56" t="s">
        <v>10</v>
      </c>
      <c r="J18" s="56" t="s">
        <v>75</v>
      </c>
    </row>
    <row r="19" spans="1:10" ht="16.8" thickTop="1" thickBot="1" x14ac:dyDescent="0.35">
      <c r="A19" s="212"/>
      <c r="B19" s="213"/>
      <c r="C19" s="215"/>
    </row>
    <row r="20" spans="1:10" ht="15" customHeight="1" thickTop="1" x14ac:dyDescent="0.3">
      <c r="A20" s="212"/>
      <c r="B20" s="318" t="s">
        <v>267</v>
      </c>
      <c r="C20" s="215"/>
      <c r="D20" s="1" t="s">
        <v>31</v>
      </c>
      <c r="E20" s="278">
        <f>J10+1</f>
        <v>44792</v>
      </c>
      <c r="F20" s="278">
        <f>E20+1</f>
        <v>44793</v>
      </c>
      <c r="G20" s="278">
        <f t="shared" ref="G20:J20" si="1">F20+1</f>
        <v>44794</v>
      </c>
      <c r="H20" s="278">
        <f t="shared" si="1"/>
        <v>44795</v>
      </c>
      <c r="I20" s="278">
        <f t="shared" si="1"/>
        <v>44796</v>
      </c>
      <c r="J20" s="278">
        <f t="shared" si="1"/>
        <v>44797</v>
      </c>
    </row>
    <row r="21" spans="1:10" ht="15" customHeight="1" thickBot="1" x14ac:dyDescent="0.35">
      <c r="A21" s="212"/>
      <c r="B21" s="319"/>
      <c r="C21" s="215"/>
      <c r="D21" s="1" t="s">
        <v>32</v>
      </c>
      <c r="E21" s="9" t="s">
        <v>6</v>
      </c>
      <c r="F21" s="10" t="s">
        <v>7</v>
      </c>
      <c r="G21" s="9" t="s">
        <v>8</v>
      </c>
      <c r="H21" s="9" t="s">
        <v>15</v>
      </c>
      <c r="I21" s="9" t="s">
        <v>16</v>
      </c>
      <c r="J21" s="9" t="s">
        <v>30</v>
      </c>
    </row>
    <row r="22" spans="1:10" ht="16.8" thickTop="1" thickBot="1" x14ac:dyDescent="0.35">
      <c r="A22" s="212"/>
      <c r="B22" s="213"/>
      <c r="C22" s="215"/>
      <c r="D22" s="29" t="s">
        <v>166</v>
      </c>
      <c r="E22" s="8" t="str">
        <f>data_formula_legend!E103</f>
        <v>GreenHoose</v>
      </c>
      <c r="F22" s="6" t="str">
        <f>data_formula_legend!E110</f>
        <v>Bramwell Station</v>
      </c>
      <c r="G22" s="274" t="str">
        <f>data_formula_legend!E118</f>
        <v>Punsand Bay</v>
      </c>
      <c r="H22" s="275" t="str">
        <f>data_formula_legend!E125</f>
        <v>Punsand Bay</v>
      </c>
      <c r="I22" s="6" t="str">
        <f>data_formula_legend!E132</f>
        <v>Cairns Sheridan Hotel</v>
      </c>
      <c r="J22" s="7"/>
    </row>
    <row r="23" spans="1:10" ht="15" thickTop="1" x14ac:dyDescent="0.3">
      <c r="A23" s="212"/>
      <c r="B23" s="318" t="s">
        <v>268</v>
      </c>
      <c r="C23" s="215"/>
      <c r="D23" s="29" t="s">
        <v>167</v>
      </c>
      <c r="E23" s="8" t="str">
        <f>data_formula_legend!E104</f>
        <v>A None</v>
      </c>
      <c r="F23" s="6" t="str">
        <f>data_formula_legend!E111</f>
        <v>A None</v>
      </c>
      <c r="G23" s="274" t="str">
        <f>data_formula_legend!E119</f>
        <v>A None</v>
      </c>
      <c r="H23" s="275" t="str">
        <f>data_formula_legend!E126</f>
        <v>A None</v>
      </c>
      <c r="I23" s="6" t="str">
        <f>data_formula_legend!E133</f>
        <v>A None</v>
      </c>
      <c r="J23" s="7"/>
    </row>
    <row r="24" spans="1:10" ht="15" thickBot="1" x14ac:dyDescent="0.35">
      <c r="A24" s="212"/>
      <c r="B24" s="319"/>
      <c r="C24" s="215"/>
      <c r="D24" s="29" t="s">
        <v>168</v>
      </c>
      <c r="E24" s="8" t="str">
        <f>data_formula_legend!E105</f>
        <v>A None</v>
      </c>
      <c r="F24" s="6" t="str">
        <f>data_formula_legend!E112</f>
        <v>A None</v>
      </c>
      <c r="G24" s="274" t="str">
        <f>data_formula_legend!E120</f>
        <v>A None</v>
      </c>
      <c r="H24" s="275" t="str">
        <f>data_formula_legend!E127</f>
        <v>A None</v>
      </c>
      <c r="I24" s="6" t="str">
        <f>data_formula_legend!E134</f>
        <v>A None</v>
      </c>
      <c r="J24" s="7"/>
    </row>
    <row r="25" spans="1:10" ht="16.8" thickTop="1" thickBot="1" x14ac:dyDescent="0.35">
      <c r="A25" s="212"/>
      <c r="B25" s="213"/>
      <c r="C25" s="215"/>
      <c r="D25" s="29" t="s">
        <v>173</v>
      </c>
      <c r="E25" s="8" t="str">
        <f>data_formula_legend!E106</f>
        <v>A None</v>
      </c>
      <c r="F25" s="6" t="str">
        <f>data_formula_legend!E113</f>
        <v>A None</v>
      </c>
      <c r="G25" s="274" t="str">
        <f>data_formula_legend!E121</f>
        <v>A None</v>
      </c>
      <c r="H25" s="275" t="str">
        <f>data_formula_legend!E128</f>
        <v>A None</v>
      </c>
      <c r="I25" s="6" t="str">
        <f>data_formula_legend!E135</f>
        <v>A None</v>
      </c>
      <c r="J25" s="7"/>
    </row>
    <row r="26" spans="1:10" ht="15" customHeight="1" thickTop="1" x14ac:dyDescent="0.3">
      <c r="A26" s="212"/>
      <c r="B26" s="318" t="s">
        <v>269</v>
      </c>
      <c r="C26" s="215"/>
      <c r="D26" s="58" t="s">
        <v>145</v>
      </c>
      <c r="E26" s="13" t="s">
        <v>79</v>
      </c>
      <c r="F26" s="13" t="s">
        <v>12</v>
      </c>
      <c r="G26" s="13" t="s">
        <v>12</v>
      </c>
      <c r="H26" s="13" t="s">
        <v>79</v>
      </c>
      <c r="I26" s="13" t="s">
        <v>12</v>
      </c>
      <c r="J26" s="13" t="s">
        <v>154</v>
      </c>
    </row>
    <row r="27" spans="1:10" ht="15" customHeight="1" thickBot="1" x14ac:dyDescent="0.35">
      <c r="A27" s="212"/>
      <c r="B27" s="319"/>
      <c r="C27" s="215"/>
      <c r="D27" s="59" t="s">
        <v>147</v>
      </c>
      <c r="E27" s="54" t="s">
        <v>13</v>
      </c>
      <c r="F27" s="54" t="s">
        <v>20</v>
      </c>
      <c r="G27" s="54" t="s">
        <v>14</v>
      </c>
      <c r="H27" s="54" t="s">
        <v>26</v>
      </c>
      <c r="I27" s="54" t="s">
        <v>17</v>
      </c>
      <c r="J27" s="54"/>
    </row>
    <row r="28" spans="1:10" ht="16.8" thickTop="1" thickBot="1" x14ac:dyDescent="0.35">
      <c r="A28" s="212"/>
      <c r="B28" s="213"/>
      <c r="C28" s="215"/>
      <c r="D28" s="60" t="s">
        <v>146</v>
      </c>
      <c r="E28" s="56" t="s">
        <v>24</v>
      </c>
      <c r="F28" s="56" t="s">
        <v>18</v>
      </c>
      <c r="G28" s="56" t="s">
        <v>21</v>
      </c>
      <c r="H28" s="56" t="s">
        <v>19</v>
      </c>
      <c r="I28" s="56" t="s">
        <v>25</v>
      </c>
      <c r="J28" s="56"/>
    </row>
    <row r="29" spans="1:10" ht="15" customHeight="1" thickTop="1" x14ac:dyDescent="0.3">
      <c r="A29" s="212"/>
      <c r="B29" s="318" t="s">
        <v>270</v>
      </c>
      <c r="C29" s="215"/>
    </row>
    <row r="30" spans="1:10" ht="15" customHeight="1" thickBot="1" x14ac:dyDescent="0.35">
      <c r="A30" s="212"/>
      <c r="B30" s="319"/>
      <c r="C30" s="215"/>
    </row>
    <row r="31" spans="1:10" ht="16.8" thickTop="1" thickBot="1" x14ac:dyDescent="0.35">
      <c r="A31" s="212"/>
      <c r="B31" s="213"/>
      <c r="C31" s="215"/>
    </row>
    <row r="32" spans="1:10" ht="15" customHeight="1" thickTop="1" x14ac:dyDescent="0.3">
      <c r="A32" s="212"/>
      <c r="B32" s="318" t="s">
        <v>271</v>
      </c>
      <c r="C32" s="215"/>
    </row>
    <row r="33" spans="1:3" ht="15" customHeight="1" thickBot="1" x14ac:dyDescent="0.35">
      <c r="A33" s="212"/>
      <c r="B33" s="319"/>
      <c r="C33" s="215"/>
    </row>
    <row r="34" spans="1:3" ht="16.8" thickTop="1" thickBot="1" x14ac:dyDescent="0.35">
      <c r="A34" s="212"/>
      <c r="B34" s="213"/>
      <c r="C34" s="215"/>
    </row>
    <row r="35" spans="1:3" ht="15" customHeight="1" thickTop="1" x14ac:dyDescent="0.3">
      <c r="A35" s="212"/>
      <c r="B35" s="318" t="s">
        <v>272</v>
      </c>
      <c r="C35" s="215"/>
    </row>
    <row r="36" spans="1:3" ht="15" customHeight="1" thickBot="1" x14ac:dyDescent="0.35">
      <c r="A36" s="212"/>
      <c r="B36" s="319"/>
      <c r="C36" s="215"/>
    </row>
    <row r="37" spans="1:3" ht="16.8" thickTop="1" thickBot="1" x14ac:dyDescent="0.35">
      <c r="A37" s="212"/>
      <c r="B37" s="213"/>
      <c r="C37" s="215"/>
    </row>
    <row r="38" spans="1:3" ht="15" customHeight="1" thickTop="1" x14ac:dyDescent="0.3">
      <c r="A38" s="212"/>
      <c r="B38" s="318" t="s">
        <v>273</v>
      </c>
      <c r="C38" s="215"/>
    </row>
    <row r="39" spans="1:3" ht="15" customHeight="1" thickBot="1" x14ac:dyDescent="0.35">
      <c r="A39" s="212"/>
      <c r="B39" s="319"/>
      <c r="C39" s="215"/>
    </row>
    <row r="40" spans="1:3" ht="16.8" thickTop="1" thickBot="1" x14ac:dyDescent="0.35">
      <c r="A40" s="212"/>
      <c r="B40" s="213"/>
      <c r="C40" s="215"/>
    </row>
    <row r="41" spans="1:3" ht="15" customHeight="1" thickTop="1" x14ac:dyDescent="0.3">
      <c r="A41" s="212"/>
      <c r="B41" s="318" t="s">
        <v>274</v>
      </c>
      <c r="C41" s="215"/>
    </row>
    <row r="42" spans="1:3" ht="15" customHeight="1" thickBot="1" x14ac:dyDescent="0.35">
      <c r="A42" s="212"/>
      <c r="B42" s="319"/>
      <c r="C42" s="215"/>
    </row>
    <row r="43" spans="1:3" ht="16.8" thickTop="1" thickBot="1" x14ac:dyDescent="0.35">
      <c r="A43" s="212"/>
      <c r="B43" s="213"/>
      <c r="C43" s="215"/>
    </row>
    <row r="44" spans="1:3" ht="15" customHeight="1" thickTop="1" x14ac:dyDescent="0.3">
      <c r="A44" s="212"/>
      <c r="B44" s="318" t="s">
        <v>275</v>
      </c>
      <c r="C44" s="215"/>
    </row>
    <row r="45" spans="1:3" ht="15" customHeight="1" thickBot="1" x14ac:dyDescent="0.35">
      <c r="A45" s="212"/>
      <c r="B45" s="319"/>
      <c r="C45" s="215"/>
    </row>
    <row r="46" spans="1:3" ht="16.8" thickTop="1" thickBot="1" x14ac:dyDescent="0.35">
      <c r="A46" s="212"/>
      <c r="B46" s="213"/>
      <c r="C46" s="215"/>
    </row>
    <row r="47" spans="1:3" ht="15" customHeight="1" thickTop="1" x14ac:dyDescent="0.3">
      <c r="A47" s="212"/>
      <c r="B47" s="318" t="s">
        <v>276</v>
      </c>
      <c r="C47" s="215"/>
    </row>
    <row r="48" spans="1:3" ht="15" customHeight="1" thickBot="1" x14ac:dyDescent="0.35">
      <c r="A48" s="212"/>
      <c r="B48" s="319"/>
      <c r="C48" s="215"/>
    </row>
    <row r="49" spans="1:3" ht="16.8" thickTop="1" thickBot="1" x14ac:dyDescent="0.35">
      <c r="A49" s="212"/>
      <c r="B49" s="213"/>
      <c r="C49" s="215"/>
    </row>
    <row r="50" spans="1:3" ht="15" customHeight="1" thickTop="1" x14ac:dyDescent="0.3">
      <c r="A50" s="212"/>
      <c r="B50" s="318" t="s">
        <v>277</v>
      </c>
      <c r="C50" s="215"/>
    </row>
    <row r="51" spans="1:3" ht="15" customHeight="1" thickBot="1" x14ac:dyDescent="0.35">
      <c r="A51" s="212"/>
      <c r="B51" s="319"/>
      <c r="C51" s="215"/>
    </row>
    <row r="52" spans="1:3" ht="16.2" thickTop="1" x14ac:dyDescent="0.3">
      <c r="A52" s="212"/>
      <c r="B52" s="213"/>
      <c r="C52" s="215"/>
    </row>
    <row r="53" spans="1:3" ht="15" customHeight="1" x14ac:dyDescent="0.3">
      <c r="A53" s="212"/>
      <c r="B53" s="213"/>
      <c r="C53" s="215"/>
    </row>
    <row r="54" spans="1:3" ht="15" customHeight="1" x14ac:dyDescent="0.3">
      <c r="A54" s="212"/>
      <c r="B54" s="231"/>
      <c r="C54" s="215"/>
    </row>
    <row r="55" spans="1:3" x14ac:dyDescent="0.3">
      <c r="A55" s="212"/>
      <c r="B55" s="231"/>
      <c r="C55" s="215"/>
    </row>
    <row r="56" spans="1:3" ht="15" customHeight="1" x14ac:dyDescent="0.3">
      <c r="A56" s="212"/>
      <c r="B56" s="213"/>
      <c r="C56" s="215"/>
    </row>
    <row r="57" spans="1:3" ht="15" customHeight="1" x14ac:dyDescent="0.3">
      <c r="A57" s="212"/>
      <c r="B57" s="213"/>
      <c r="C57" s="215"/>
    </row>
    <row r="58" spans="1:3" x14ac:dyDescent="0.3">
      <c r="A58" s="212"/>
      <c r="B58" s="213"/>
      <c r="C58" s="215"/>
    </row>
    <row r="59" spans="1:3" x14ac:dyDescent="0.3">
      <c r="A59" s="212"/>
      <c r="B59" s="213"/>
      <c r="C59" s="215"/>
    </row>
    <row r="60" spans="1:3" x14ac:dyDescent="0.3">
      <c r="A60" s="212"/>
      <c r="B60" s="213"/>
      <c r="C60" s="215"/>
    </row>
    <row r="61" spans="1:3" x14ac:dyDescent="0.3">
      <c r="A61" s="212"/>
      <c r="B61" s="213"/>
      <c r="C61" s="215"/>
    </row>
    <row r="62" spans="1:3" x14ac:dyDescent="0.3">
      <c r="A62" s="212"/>
      <c r="B62" s="213"/>
      <c r="C62" s="215"/>
    </row>
    <row r="63" spans="1:3" x14ac:dyDescent="0.3">
      <c r="A63" s="212"/>
      <c r="B63" s="213"/>
      <c r="C63" s="215"/>
    </row>
    <row r="64" spans="1:3" x14ac:dyDescent="0.3">
      <c r="A64" s="212"/>
      <c r="B64" s="213"/>
      <c r="C64" s="215"/>
    </row>
    <row r="65" spans="1:3" x14ac:dyDescent="0.3">
      <c r="A65" s="212"/>
      <c r="B65" s="213"/>
      <c r="C65" s="215"/>
    </row>
    <row r="66" spans="1:3" x14ac:dyDescent="0.3">
      <c r="A66" s="212"/>
      <c r="B66" s="213"/>
      <c r="C66" s="215"/>
    </row>
    <row r="67" spans="1:3" x14ac:dyDescent="0.3">
      <c r="A67" s="212"/>
      <c r="B67" s="213"/>
      <c r="C67" s="215"/>
    </row>
    <row r="68" spans="1:3" x14ac:dyDescent="0.3">
      <c r="A68" s="212"/>
      <c r="B68" s="213"/>
      <c r="C68" s="215"/>
    </row>
    <row r="69" spans="1:3" x14ac:dyDescent="0.3">
      <c r="A69" s="212"/>
      <c r="B69" s="213"/>
      <c r="C69" s="215"/>
    </row>
    <row r="70" spans="1:3" x14ac:dyDescent="0.3">
      <c r="A70" s="212"/>
      <c r="B70" s="213"/>
      <c r="C70" s="215"/>
    </row>
    <row r="71" spans="1:3" x14ac:dyDescent="0.3">
      <c r="A71" s="212"/>
      <c r="B71" s="213"/>
      <c r="C71" s="215"/>
    </row>
    <row r="72" spans="1:3" x14ac:dyDescent="0.3">
      <c r="A72" s="212"/>
      <c r="B72" s="213"/>
      <c r="C72" s="215"/>
    </row>
    <row r="73" spans="1:3" x14ac:dyDescent="0.3">
      <c r="C73" s="218"/>
    </row>
    <row r="74" spans="1:3" x14ac:dyDescent="0.3">
      <c r="C74" s="218"/>
    </row>
    <row r="75" spans="1:3" x14ac:dyDescent="0.3">
      <c r="C75" s="218"/>
    </row>
    <row r="76" spans="1:3" x14ac:dyDescent="0.3">
      <c r="C76" s="218"/>
    </row>
    <row r="77" spans="1:3" x14ac:dyDescent="0.3">
      <c r="C77" s="218"/>
    </row>
    <row r="78" spans="1:3" x14ac:dyDescent="0.3">
      <c r="C78" s="218"/>
    </row>
    <row r="79" spans="1:3" x14ac:dyDescent="0.3">
      <c r="C79" s="218"/>
    </row>
    <row r="80" spans="1:3" x14ac:dyDescent="0.3">
      <c r="C80" s="218"/>
    </row>
    <row r="81" spans="3:3" x14ac:dyDescent="0.3">
      <c r="C81" s="218"/>
    </row>
    <row r="82" spans="3:3" x14ac:dyDescent="0.3">
      <c r="C82" s="218"/>
    </row>
    <row r="83" spans="3:3" x14ac:dyDescent="0.3">
      <c r="C83" s="218"/>
    </row>
    <row r="84" spans="3:3" x14ac:dyDescent="0.3">
      <c r="C84" s="218"/>
    </row>
    <row r="85" spans="3:3" x14ac:dyDescent="0.3">
      <c r="C85" s="218"/>
    </row>
    <row r="86" spans="3:3" x14ac:dyDescent="0.3">
      <c r="C86" s="218"/>
    </row>
    <row r="87" spans="3:3" x14ac:dyDescent="0.3">
      <c r="C87" s="218"/>
    </row>
    <row r="88" spans="3:3" x14ac:dyDescent="0.3">
      <c r="C88" s="218"/>
    </row>
    <row r="89" spans="3:3" x14ac:dyDescent="0.3">
      <c r="C89" s="218"/>
    </row>
    <row r="90" spans="3:3" x14ac:dyDescent="0.3">
      <c r="C90" s="218"/>
    </row>
    <row r="91" spans="3:3" x14ac:dyDescent="0.3">
      <c r="C91" s="218"/>
    </row>
    <row r="92" spans="3:3" x14ac:dyDescent="0.3">
      <c r="C92" s="218"/>
    </row>
    <row r="93" spans="3:3" x14ac:dyDescent="0.3">
      <c r="C93" s="218"/>
    </row>
    <row r="94" spans="3:3" x14ac:dyDescent="0.3">
      <c r="C94" s="218"/>
    </row>
    <row r="95" spans="3:3" x14ac:dyDescent="0.3">
      <c r="C95" s="218"/>
    </row>
    <row r="96" spans="3:3" x14ac:dyDescent="0.3">
      <c r="C96" s="218"/>
    </row>
    <row r="97" spans="3:3" x14ac:dyDescent="0.3">
      <c r="C97" s="218"/>
    </row>
    <row r="98" spans="3:3" x14ac:dyDescent="0.3">
      <c r="C98" s="218"/>
    </row>
    <row r="99" spans="3:3" x14ac:dyDescent="0.3">
      <c r="C99" s="218"/>
    </row>
    <row r="100" spans="3:3" x14ac:dyDescent="0.3">
      <c r="C100" s="218"/>
    </row>
    <row r="101" spans="3:3" x14ac:dyDescent="0.3">
      <c r="C101" s="218"/>
    </row>
    <row r="102" spans="3:3" x14ac:dyDescent="0.3">
      <c r="C102" s="218"/>
    </row>
    <row r="103" spans="3:3" x14ac:dyDescent="0.3">
      <c r="C103" s="218"/>
    </row>
    <row r="104" spans="3:3" x14ac:dyDescent="0.3">
      <c r="C104" s="218"/>
    </row>
    <row r="105" spans="3:3" x14ac:dyDescent="0.3">
      <c r="C105" s="218"/>
    </row>
    <row r="106" spans="3:3" x14ac:dyDescent="0.3">
      <c r="C106" s="218"/>
    </row>
    <row r="107" spans="3:3" x14ac:dyDescent="0.3">
      <c r="C107" s="218"/>
    </row>
    <row r="108" spans="3:3" x14ac:dyDescent="0.3">
      <c r="C108" s="218"/>
    </row>
    <row r="109" spans="3:3" x14ac:dyDescent="0.3">
      <c r="C109" s="218"/>
    </row>
    <row r="110" spans="3:3" x14ac:dyDescent="0.3">
      <c r="C110" s="218"/>
    </row>
    <row r="111" spans="3:3" x14ac:dyDescent="0.3">
      <c r="C111" s="218"/>
    </row>
    <row r="112" spans="3:3" x14ac:dyDescent="0.3">
      <c r="C112" s="218"/>
    </row>
    <row r="113" spans="3:3" x14ac:dyDescent="0.3">
      <c r="C113" s="218"/>
    </row>
    <row r="114" spans="3:3" x14ac:dyDescent="0.3">
      <c r="C114" s="218"/>
    </row>
    <row r="115" spans="3:3" x14ac:dyDescent="0.3">
      <c r="C115" s="218"/>
    </row>
    <row r="116" spans="3:3" x14ac:dyDescent="0.3">
      <c r="C116" s="218"/>
    </row>
    <row r="117" spans="3:3" x14ac:dyDescent="0.3">
      <c r="C117" s="218"/>
    </row>
    <row r="118" spans="3:3" x14ac:dyDescent="0.3">
      <c r="C118" s="218"/>
    </row>
    <row r="119" spans="3:3" x14ac:dyDescent="0.3">
      <c r="C119" s="218"/>
    </row>
    <row r="120" spans="3:3" x14ac:dyDescent="0.3">
      <c r="C120" s="218"/>
    </row>
    <row r="121" spans="3:3" x14ac:dyDescent="0.3">
      <c r="C121" s="218"/>
    </row>
    <row r="122" spans="3:3" x14ac:dyDescent="0.3">
      <c r="C122" s="218"/>
    </row>
    <row r="123" spans="3:3" x14ac:dyDescent="0.3">
      <c r="C123" s="218"/>
    </row>
    <row r="124" spans="3:3" x14ac:dyDescent="0.3">
      <c r="C124" s="218"/>
    </row>
    <row r="125" spans="3:3" x14ac:dyDescent="0.3">
      <c r="C125" s="218"/>
    </row>
    <row r="126" spans="3:3" x14ac:dyDescent="0.3">
      <c r="C126" s="218"/>
    </row>
    <row r="127" spans="3:3" x14ac:dyDescent="0.3">
      <c r="C127" s="218"/>
    </row>
    <row r="128" spans="3:3" x14ac:dyDescent="0.3">
      <c r="C128" s="218"/>
    </row>
    <row r="129" spans="3:3" x14ac:dyDescent="0.3">
      <c r="C129" s="218"/>
    </row>
    <row r="130" spans="3:3" x14ac:dyDescent="0.3">
      <c r="C130" s="218"/>
    </row>
    <row r="131" spans="3:3" x14ac:dyDescent="0.3">
      <c r="C131" s="218"/>
    </row>
    <row r="132" spans="3:3" x14ac:dyDescent="0.3">
      <c r="C132" s="218"/>
    </row>
    <row r="133" spans="3:3" x14ac:dyDescent="0.3">
      <c r="C133" s="218"/>
    </row>
    <row r="134" spans="3:3" x14ac:dyDescent="0.3">
      <c r="C134" s="218"/>
    </row>
    <row r="135" spans="3:3" x14ac:dyDescent="0.3">
      <c r="C135" s="218"/>
    </row>
    <row r="136" spans="3:3" x14ac:dyDescent="0.3">
      <c r="C136" s="218"/>
    </row>
    <row r="137" spans="3:3" x14ac:dyDescent="0.3">
      <c r="C137" s="218"/>
    </row>
    <row r="138" spans="3:3" x14ac:dyDescent="0.3">
      <c r="C138" s="218"/>
    </row>
    <row r="139" spans="3:3" x14ac:dyDescent="0.3">
      <c r="C139" s="218"/>
    </row>
    <row r="140" spans="3:3" x14ac:dyDescent="0.3">
      <c r="C140" s="218"/>
    </row>
    <row r="141" spans="3:3" x14ac:dyDescent="0.3">
      <c r="C141" s="218"/>
    </row>
    <row r="142" spans="3:3" x14ac:dyDescent="0.3">
      <c r="C142" s="218"/>
    </row>
    <row r="143" spans="3:3" x14ac:dyDescent="0.3">
      <c r="C143" s="218"/>
    </row>
    <row r="144" spans="3:3" x14ac:dyDescent="0.3">
      <c r="C144" s="218"/>
    </row>
    <row r="145" spans="3:3" x14ac:dyDescent="0.3">
      <c r="C145" s="218"/>
    </row>
    <row r="146" spans="3:3" x14ac:dyDescent="0.3">
      <c r="C146" s="218"/>
    </row>
    <row r="147" spans="3:3" x14ac:dyDescent="0.3">
      <c r="C147" s="218"/>
    </row>
    <row r="148" spans="3:3" x14ac:dyDescent="0.3">
      <c r="C148" s="218"/>
    </row>
    <row r="149" spans="3:3" x14ac:dyDescent="0.3">
      <c r="C149" s="218"/>
    </row>
    <row r="150" spans="3:3" x14ac:dyDescent="0.3">
      <c r="C150" s="218"/>
    </row>
    <row r="151" spans="3:3" x14ac:dyDescent="0.3">
      <c r="C151" s="218"/>
    </row>
    <row r="152" spans="3:3" x14ac:dyDescent="0.3">
      <c r="C152" s="218"/>
    </row>
    <row r="153" spans="3:3" x14ac:dyDescent="0.3">
      <c r="C153" s="218"/>
    </row>
    <row r="154" spans="3:3" x14ac:dyDescent="0.3">
      <c r="C154" s="218"/>
    </row>
    <row r="155" spans="3:3" x14ac:dyDescent="0.3">
      <c r="C155" s="218"/>
    </row>
    <row r="156" spans="3:3" x14ac:dyDescent="0.3">
      <c r="C156" s="218"/>
    </row>
    <row r="157" spans="3:3" x14ac:dyDescent="0.3">
      <c r="C157" s="218"/>
    </row>
    <row r="158" spans="3:3" x14ac:dyDescent="0.3">
      <c r="C158" s="218"/>
    </row>
    <row r="159" spans="3:3" x14ac:dyDescent="0.3">
      <c r="C159" s="218"/>
    </row>
    <row r="160" spans="3:3" x14ac:dyDescent="0.3">
      <c r="C160" s="218"/>
    </row>
    <row r="161" spans="3:3" x14ac:dyDescent="0.3">
      <c r="C161" s="218"/>
    </row>
    <row r="162" spans="3:3" x14ac:dyDescent="0.3">
      <c r="C162" s="218"/>
    </row>
    <row r="163" spans="3:3" x14ac:dyDescent="0.3">
      <c r="C163" s="218"/>
    </row>
    <row r="164" spans="3:3" x14ac:dyDescent="0.3">
      <c r="C164" s="218"/>
    </row>
    <row r="165" spans="3:3" x14ac:dyDescent="0.3">
      <c r="C165" s="218"/>
    </row>
    <row r="166" spans="3:3" x14ac:dyDescent="0.3">
      <c r="C166" s="218"/>
    </row>
    <row r="167" spans="3:3" x14ac:dyDescent="0.3">
      <c r="C167" s="218"/>
    </row>
    <row r="168" spans="3:3" x14ac:dyDescent="0.3">
      <c r="C168" s="218"/>
    </row>
    <row r="169" spans="3:3" x14ac:dyDescent="0.3">
      <c r="C169" s="218"/>
    </row>
    <row r="170" spans="3:3" x14ac:dyDescent="0.3">
      <c r="C170" s="218"/>
    </row>
    <row r="171" spans="3:3" x14ac:dyDescent="0.3">
      <c r="C171" s="218"/>
    </row>
    <row r="172" spans="3:3" x14ac:dyDescent="0.3">
      <c r="C172" s="218"/>
    </row>
    <row r="173" spans="3:3" x14ac:dyDescent="0.3">
      <c r="C173" s="218"/>
    </row>
    <row r="174" spans="3:3" x14ac:dyDescent="0.3">
      <c r="C174" s="218"/>
    </row>
    <row r="175" spans="3:3" x14ac:dyDescent="0.3">
      <c r="C175" s="218"/>
    </row>
    <row r="176" spans="3:3" x14ac:dyDescent="0.3">
      <c r="C176" s="218"/>
    </row>
    <row r="177" spans="3:3" x14ac:dyDescent="0.3">
      <c r="C177" s="218"/>
    </row>
    <row r="178" spans="3:3" x14ac:dyDescent="0.3">
      <c r="C178" s="218"/>
    </row>
    <row r="179" spans="3:3" x14ac:dyDescent="0.3">
      <c r="C179" s="218"/>
    </row>
    <row r="180" spans="3:3" x14ac:dyDescent="0.3">
      <c r="C180" s="218"/>
    </row>
    <row r="181" spans="3:3" x14ac:dyDescent="0.3">
      <c r="C181" s="218"/>
    </row>
    <row r="182" spans="3:3" x14ac:dyDescent="0.3">
      <c r="C182" s="218"/>
    </row>
    <row r="183" spans="3:3" x14ac:dyDescent="0.3">
      <c r="C183" s="218"/>
    </row>
    <row r="184" spans="3:3" x14ac:dyDescent="0.3">
      <c r="C184" s="218"/>
    </row>
    <row r="185" spans="3:3" x14ac:dyDescent="0.3">
      <c r="C185" s="218"/>
    </row>
    <row r="186" spans="3:3" x14ac:dyDescent="0.3">
      <c r="C186" s="218"/>
    </row>
    <row r="187" spans="3:3" x14ac:dyDescent="0.3">
      <c r="C187" s="218"/>
    </row>
    <row r="188" spans="3:3" x14ac:dyDescent="0.3">
      <c r="C188" s="218"/>
    </row>
    <row r="189" spans="3:3" x14ac:dyDescent="0.3">
      <c r="C189" s="218"/>
    </row>
    <row r="190" spans="3:3" x14ac:dyDescent="0.3">
      <c r="C190" s="218"/>
    </row>
    <row r="191" spans="3:3" x14ac:dyDescent="0.3">
      <c r="C191" s="218"/>
    </row>
    <row r="192" spans="3:3" x14ac:dyDescent="0.3">
      <c r="C192" s="218"/>
    </row>
    <row r="193" spans="3:3" x14ac:dyDescent="0.3">
      <c r="C193" s="218"/>
    </row>
    <row r="194" spans="3:3" x14ac:dyDescent="0.3">
      <c r="C194" s="218"/>
    </row>
    <row r="195" spans="3:3" x14ac:dyDescent="0.3">
      <c r="C195" s="218"/>
    </row>
    <row r="196" spans="3:3" x14ac:dyDescent="0.3">
      <c r="C196" s="218"/>
    </row>
    <row r="197" spans="3:3" x14ac:dyDescent="0.3">
      <c r="C197" s="218"/>
    </row>
    <row r="198" spans="3:3" x14ac:dyDescent="0.3">
      <c r="C198" s="218"/>
    </row>
    <row r="199" spans="3:3" x14ac:dyDescent="0.3">
      <c r="C199" s="218"/>
    </row>
    <row r="200" spans="3:3" x14ac:dyDescent="0.3">
      <c r="C200" s="218"/>
    </row>
    <row r="201" spans="3:3" x14ac:dyDescent="0.3">
      <c r="C201" s="218"/>
    </row>
    <row r="202" spans="3:3" x14ac:dyDescent="0.3">
      <c r="C202" s="218"/>
    </row>
    <row r="203" spans="3:3" x14ac:dyDescent="0.3">
      <c r="C203" s="218"/>
    </row>
    <row r="204" spans="3:3" x14ac:dyDescent="0.3">
      <c r="C204" s="218"/>
    </row>
    <row r="205" spans="3:3" x14ac:dyDescent="0.3">
      <c r="C205" s="218"/>
    </row>
    <row r="206" spans="3:3" x14ac:dyDescent="0.3">
      <c r="C206" s="218"/>
    </row>
    <row r="207" spans="3:3" x14ac:dyDescent="0.3">
      <c r="C207" s="218"/>
    </row>
    <row r="208" spans="3:3" x14ac:dyDescent="0.3">
      <c r="C208" s="218"/>
    </row>
    <row r="209" spans="3:3" x14ac:dyDescent="0.3">
      <c r="C209" s="218"/>
    </row>
    <row r="210" spans="3:3" x14ac:dyDescent="0.3">
      <c r="C210" s="218"/>
    </row>
    <row r="211" spans="3:3" x14ac:dyDescent="0.3">
      <c r="C211" s="218"/>
    </row>
    <row r="212" spans="3:3" x14ac:dyDescent="0.3">
      <c r="C212" s="218"/>
    </row>
    <row r="213" spans="3:3" x14ac:dyDescent="0.3">
      <c r="C213" s="218"/>
    </row>
    <row r="214" spans="3:3" x14ac:dyDescent="0.3">
      <c r="C214" s="218"/>
    </row>
    <row r="215" spans="3:3" x14ac:dyDescent="0.3">
      <c r="C215" s="218"/>
    </row>
    <row r="216" spans="3:3" x14ac:dyDescent="0.3">
      <c r="C216" s="218"/>
    </row>
    <row r="217" spans="3:3" x14ac:dyDescent="0.3">
      <c r="C217" s="218"/>
    </row>
    <row r="218" spans="3:3" x14ac:dyDescent="0.3">
      <c r="C218" s="218"/>
    </row>
    <row r="219" spans="3:3" x14ac:dyDescent="0.3">
      <c r="C219" s="218"/>
    </row>
    <row r="220" spans="3:3" x14ac:dyDescent="0.3">
      <c r="C220" s="218"/>
    </row>
    <row r="221" spans="3:3" x14ac:dyDescent="0.3">
      <c r="C221" s="218"/>
    </row>
    <row r="222" spans="3:3" x14ac:dyDescent="0.3">
      <c r="C222" s="218"/>
    </row>
    <row r="223" spans="3:3" x14ac:dyDescent="0.3">
      <c r="C223" s="218"/>
    </row>
    <row r="224" spans="3:3" x14ac:dyDescent="0.3">
      <c r="C224" s="218"/>
    </row>
    <row r="225" spans="3:3" x14ac:dyDescent="0.3">
      <c r="C225" s="218"/>
    </row>
    <row r="226" spans="3:3" x14ac:dyDescent="0.3">
      <c r="C226" s="218"/>
    </row>
    <row r="227" spans="3:3" x14ac:dyDescent="0.3">
      <c r="C227" s="218"/>
    </row>
    <row r="228" spans="3:3" x14ac:dyDescent="0.3">
      <c r="C228" s="218"/>
    </row>
    <row r="229" spans="3:3" x14ac:dyDescent="0.3">
      <c r="C229" s="218"/>
    </row>
    <row r="230" spans="3:3" x14ac:dyDescent="0.3">
      <c r="C230" s="218"/>
    </row>
    <row r="231" spans="3:3" x14ac:dyDescent="0.3">
      <c r="C231" s="218"/>
    </row>
    <row r="232" spans="3:3" x14ac:dyDescent="0.3">
      <c r="C232" s="218"/>
    </row>
    <row r="233" spans="3:3" x14ac:dyDescent="0.3">
      <c r="C233" s="218"/>
    </row>
    <row r="234" spans="3:3" x14ac:dyDescent="0.3">
      <c r="C234" s="218"/>
    </row>
    <row r="235" spans="3:3" x14ac:dyDescent="0.3">
      <c r="C235" s="218"/>
    </row>
    <row r="236" spans="3:3" x14ac:dyDescent="0.3">
      <c r="C236" s="218"/>
    </row>
    <row r="237" spans="3:3" x14ac:dyDescent="0.3">
      <c r="C237" s="218"/>
    </row>
    <row r="238" spans="3:3" x14ac:dyDescent="0.3">
      <c r="C238" s="218"/>
    </row>
    <row r="239" spans="3:3" x14ac:dyDescent="0.3">
      <c r="C239" s="218"/>
    </row>
    <row r="240" spans="3:3" x14ac:dyDescent="0.3">
      <c r="C240" s="218"/>
    </row>
    <row r="241" spans="3:3" x14ac:dyDescent="0.3">
      <c r="C241" s="218"/>
    </row>
    <row r="242" spans="3:3" x14ac:dyDescent="0.3">
      <c r="C242" s="218"/>
    </row>
    <row r="243" spans="3:3" x14ac:dyDescent="0.3">
      <c r="C243" s="218"/>
    </row>
    <row r="244" spans="3:3" x14ac:dyDescent="0.3">
      <c r="C244" s="218"/>
    </row>
    <row r="245" spans="3:3" x14ac:dyDescent="0.3">
      <c r="C245" s="218"/>
    </row>
    <row r="246" spans="3:3" x14ac:dyDescent="0.3">
      <c r="C246" s="218"/>
    </row>
    <row r="247" spans="3:3" x14ac:dyDescent="0.3">
      <c r="C247" s="218"/>
    </row>
    <row r="248" spans="3:3" x14ac:dyDescent="0.3">
      <c r="C248" s="218"/>
    </row>
    <row r="249" spans="3:3" x14ac:dyDescent="0.3">
      <c r="C249" s="218"/>
    </row>
    <row r="250" spans="3:3" x14ac:dyDescent="0.3">
      <c r="C250" s="218"/>
    </row>
    <row r="251" spans="3:3" x14ac:dyDescent="0.3">
      <c r="C251" s="218"/>
    </row>
    <row r="252" spans="3:3" x14ac:dyDescent="0.3">
      <c r="C252" s="218"/>
    </row>
    <row r="253" spans="3:3" x14ac:dyDescent="0.3">
      <c r="C253" s="218"/>
    </row>
    <row r="254" spans="3:3" x14ac:dyDescent="0.3">
      <c r="C254" s="218"/>
    </row>
    <row r="255" spans="3:3" x14ac:dyDescent="0.3">
      <c r="C255" s="218"/>
    </row>
    <row r="256" spans="3:3" x14ac:dyDescent="0.3">
      <c r="C256" s="218"/>
    </row>
    <row r="257" spans="3:3" x14ac:dyDescent="0.3">
      <c r="C257" s="218"/>
    </row>
    <row r="258" spans="3:3" x14ac:dyDescent="0.3">
      <c r="C258" s="218"/>
    </row>
    <row r="259" spans="3:3" x14ac:dyDescent="0.3">
      <c r="C259" s="218"/>
    </row>
  </sheetData>
  <mergeCells count="17">
    <mergeCell ref="B2:B3"/>
    <mergeCell ref="B5:B6"/>
    <mergeCell ref="B8:B9"/>
    <mergeCell ref="B17:B18"/>
    <mergeCell ref="B11:B12"/>
    <mergeCell ref="B14:B15"/>
    <mergeCell ref="B20:B21"/>
    <mergeCell ref="B26:B27"/>
    <mergeCell ref="B29:B30"/>
    <mergeCell ref="B32:B33"/>
    <mergeCell ref="B35:B36"/>
    <mergeCell ref="B23:B24"/>
    <mergeCell ref="B38:B39"/>
    <mergeCell ref="B41:B42"/>
    <mergeCell ref="B44:B45"/>
    <mergeCell ref="B47:B48"/>
    <mergeCell ref="B50:B51"/>
  </mergeCells>
  <phoneticPr fontId="2" type="noConversion"/>
  <hyperlinks>
    <hyperlink ref="B2" location="Panel!C4" display="HOME" xr:uid="{98504DEF-546F-45CD-93D7-9432F1E3EE2A}"/>
    <hyperlink ref="B5" location="Panel!C4" display="HOME" xr:uid="{AABB9E87-1DE6-4EE1-BE15-C92A05DD0132}"/>
    <hyperlink ref="B17" location="Panel!C4" display="HOME" xr:uid="{C2682AD7-8414-40D1-9604-700AB52FA6EB}"/>
    <hyperlink ref="B20" location="Panel!C4" display="HOME" xr:uid="{6A0D2E90-CEEE-4AF3-9F4A-2B348D00B9B2}"/>
    <hyperlink ref="B23" location="Panel!C4" display="HOME" xr:uid="{CF1A88E6-DBB4-4776-A686-58AFD101E2EC}"/>
    <hyperlink ref="B5:B6" location="data_formula_legend!A1" display="DATA" xr:uid="{B283A27A-BCBA-4EB7-BDC3-12F04DA7EE2E}"/>
    <hyperlink ref="B17:B18" location="day_1!A1" display="DAY 1" xr:uid="{F04E2827-B4EC-40F2-A29A-5DC281A9E3D1}"/>
    <hyperlink ref="B8" location="Panel!C4" display="HOME" xr:uid="{54B99E38-A2FE-4366-BB57-F8638B75DBF4}"/>
    <hyperlink ref="B8:B9" location="Runsheet!A1" display="RUNSHEET" xr:uid="{3261F04F-F39C-4EBC-B11D-68B45C6DACA9}"/>
    <hyperlink ref="B20:B21" location="day_2!A1" display="DAY 2" xr:uid="{73B07510-91D9-49F3-BC46-D54411284033}"/>
    <hyperlink ref="B23:B24" location="day_3!A1" display="DAY 3" xr:uid="{1633B5BC-9EDD-4055-8712-07E22618DB71}"/>
    <hyperlink ref="B2:B3" location="HOME!A1" display="HOME" xr:uid="{AAF16AAD-3E9D-46B6-8FE6-CD2E1FC084D1}"/>
    <hyperlink ref="B26" location="Panel!C4" display="HOME" xr:uid="{9A90B680-80BE-4FB5-B582-CD822BEF067E}"/>
    <hyperlink ref="B26:B27" location="day_5!A1" display="DAY 4" xr:uid="{A847474F-52AA-4C5D-8605-01E1D8B231B9}"/>
    <hyperlink ref="B29" location="Panel!C4" display="HOME" xr:uid="{8719272B-8CE7-4EF8-ABB6-D8A32FB1825B}"/>
    <hyperlink ref="B29:B30" location="day_5!A1" display="DAY 5" xr:uid="{7D07B145-AD56-43F1-B23B-2B00C35BBEED}"/>
    <hyperlink ref="B32" location="Panel!C4" display="HOME" xr:uid="{A8C00905-7F84-4F0E-B8E1-31A8B0D803A6}"/>
    <hyperlink ref="B32:B33" location="day_6!A1" display="DAY 6" xr:uid="{E00A4A9A-CC95-4A57-8B44-E4B0247A36A7}"/>
    <hyperlink ref="B14:B15" location="'Food Serves'!A1" display="FOOD SERVES" xr:uid="{840B6F91-24BD-4E81-AE23-468F07D08030}"/>
    <hyperlink ref="B11:B12" location="'Rest Runsheet Food'!A1" display="RESTAURANT RUNSHEET" xr:uid="{48B60C1F-A8CA-451A-95E7-83D2F1DFF995}"/>
    <hyperlink ref="B14" location="Panel!C4" display="HOME" xr:uid="{C20CD155-BB40-45DE-8A17-527A64E6423F}"/>
    <hyperlink ref="B11" location="Panel!C4" display="HOME" xr:uid="{942E5A83-D966-4FD5-98C3-9E6E0AFCD6C2}"/>
    <hyperlink ref="B35" location="Panel!C4" display="HOME" xr:uid="{F0B26BA5-0214-4698-92B6-B711CDD746F0}"/>
    <hyperlink ref="B35:B36" location="day_7!A1" display="DAY 7" xr:uid="{C0C7C4CF-7B37-48E2-A4CE-CFF12C769A21}"/>
    <hyperlink ref="B38" location="Panel!C4" display="HOME" xr:uid="{3751F999-C5F0-4BCB-9DA3-A3E73007CD26}"/>
    <hyperlink ref="B38:B39" location="day_8!A1" display="DAY 8" xr:uid="{AE937A44-CC42-446F-8498-C8C8E86333F5}"/>
    <hyperlink ref="B41" location="Panel!C4" display="HOME" xr:uid="{21A46EAA-C3F6-437D-A930-C765906028F3}"/>
    <hyperlink ref="B41:B42" location="day_9!A1" display="DAY 9" xr:uid="{03667F3C-A1B6-4F5E-A940-5101EE2BB4FC}"/>
    <hyperlink ref="B44" location="Panel!C4" display="HOME" xr:uid="{398C1D4E-BC9B-4705-BAB5-4871CCEA1EA3}"/>
    <hyperlink ref="B44:B45" location="day_10!A1" display="DAY 10" xr:uid="{97737479-AC48-4FF3-9F21-F45098A57610}"/>
    <hyperlink ref="B47" location="Panel!C4" display="HOME" xr:uid="{F8FFF7A0-FA47-46BF-902B-915F214D8EFC}"/>
    <hyperlink ref="B47:B48" location="day_11!A1" display="DAY 11" xr:uid="{52120AAE-F327-4072-9150-967B7F0426FA}"/>
    <hyperlink ref="B50" location="Panel!C4" display="HOME" xr:uid="{FDA9A13D-F4DB-48A9-A5BB-E8DD8F89FA9C}"/>
    <hyperlink ref="B50:B51" location="day_12!A1" display="DAY 12" xr:uid="{D27F8AE4-9537-405A-BA1C-DE95265041D1}"/>
  </hyperlinks>
  <pageMargins left="0.25" right="0.25" top="0.75" bottom="0.75" header="0.3" footer="0.3"/>
  <pageSetup scale="12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F25C4-037D-4772-B007-3478A237935B}">
  <sheetPr codeName="Sheet2">
    <pageSetUpPr fitToPage="1"/>
  </sheetPr>
  <dimension ref="A1:AC259"/>
  <sheetViews>
    <sheetView workbookViewId="0">
      <selection activeCell="B5" sqref="B5:B6"/>
    </sheetView>
  </sheetViews>
  <sheetFormatPr defaultRowHeight="15.6" x14ac:dyDescent="0.3"/>
  <cols>
    <col min="1" max="1" width="1.77734375" style="216" customWidth="1"/>
    <col min="2" max="2" width="15.77734375" style="217" customWidth="1"/>
    <col min="3" max="3" width="1.77734375" style="216" customWidth="1"/>
    <col min="4" max="4" width="43.77734375" bestFit="1" customWidth="1"/>
    <col min="5" max="5" width="20.33203125" bestFit="1" customWidth="1"/>
    <col min="6" max="6" width="11.88671875" customWidth="1"/>
    <col min="7" max="7" width="25" customWidth="1"/>
    <col min="8" max="8" width="10.5546875" bestFit="1" customWidth="1"/>
    <col min="9" max="9" width="18.44140625" customWidth="1"/>
    <col min="10" max="10" width="15.77734375" customWidth="1"/>
    <col min="11" max="11" width="6.44140625" customWidth="1"/>
    <col min="12" max="12" width="20.6640625" customWidth="1"/>
    <col min="13" max="13" width="6.44140625" customWidth="1"/>
    <col min="14" max="14" width="21.6640625" customWidth="1"/>
    <col min="15" max="15" width="6.44140625" customWidth="1"/>
    <col min="16" max="16" width="20.33203125" bestFit="1" customWidth="1"/>
    <col min="17" max="17" width="6.44140625" bestFit="1" customWidth="1"/>
    <col min="18" max="18" width="20.6640625" bestFit="1" customWidth="1"/>
    <col min="19" max="19" width="6.44140625" bestFit="1" customWidth="1"/>
    <col min="20" max="20" width="17.6640625" bestFit="1" customWidth="1"/>
    <col min="21" max="21" width="6.44140625" bestFit="1" customWidth="1"/>
    <col min="22" max="22" width="21.6640625" bestFit="1" customWidth="1"/>
    <col min="23" max="23" width="6.44140625" bestFit="1" customWidth="1"/>
    <col min="24" max="24" width="26.33203125" customWidth="1"/>
    <col min="25" max="25" width="13" customWidth="1"/>
    <col min="26" max="26" width="17.44140625" customWidth="1"/>
    <col min="27" max="27" width="8.44140625" customWidth="1"/>
    <col min="28" max="28" width="13.5546875" customWidth="1"/>
    <col min="29" max="29" width="19.109375" customWidth="1"/>
  </cols>
  <sheetData>
    <row r="1" spans="1:29" ht="16.2" thickBot="1" x14ac:dyDescent="0.35">
      <c r="A1" s="212"/>
      <c r="B1" s="213"/>
      <c r="C1" s="212"/>
      <c r="D1" s="1" t="str" cm="1">
        <f t="array" ref="D1:E1">'Food Serves'!D2:E2</f>
        <v>Tour 2</v>
      </c>
      <c r="E1">
        <v>0</v>
      </c>
      <c r="H1" s="62"/>
      <c r="I1" s="62"/>
      <c r="J1" s="62"/>
      <c r="K1" s="62"/>
      <c r="L1" s="62"/>
      <c r="M1" s="62"/>
      <c r="N1" s="315"/>
      <c r="O1" s="315"/>
    </row>
    <row r="2" spans="1:29" ht="15.6" customHeight="1" thickTop="1" thickBot="1" x14ac:dyDescent="0.35">
      <c r="A2" s="212"/>
      <c r="B2" s="318" t="s">
        <v>264</v>
      </c>
      <c r="C2" s="212"/>
    </row>
    <row r="3" spans="1:29" ht="15" customHeight="1" thickBot="1" x14ac:dyDescent="0.35">
      <c r="A3" s="212"/>
      <c r="B3" s="319"/>
      <c r="C3" s="212"/>
      <c r="E3" s="1" t="s">
        <v>31</v>
      </c>
      <c r="F3" s="401">
        <f>'Food Serves'!E3</f>
        <v>44786</v>
      </c>
      <c r="G3" s="402"/>
      <c r="H3" s="401">
        <f>F3+1</f>
        <v>44787</v>
      </c>
      <c r="I3" s="402"/>
      <c r="J3" s="401">
        <f t="shared" ref="J3" si="0">H3+1</f>
        <v>44788</v>
      </c>
      <c r="K3" s="402"/>
      <c r="L3" s="401">
        <f t="shared" ref="L3" si="1">J3+1</f>
        <v>44789</v>
      </c>
      <c r="M3" s="402"/>
      <c r="N3" s="401">
        <f t="shared" ref="N3" si="2">L3+1</f>
        <v>44790</v>
      </c>
      <c r="O3" s="402"/>
      <c r="P3" s="401">
        <f t="shared" ref="P3" si="3">N3+1</f>
        <v>44791</v>
      </c>
      <c r="Q3" s="402"/>
      <c r="R3" s="401">
        <f t="shared" ref="R3" si="4">P3+1</f>
        <v>44792</v>
      </c>
      <c r="S3" s="402"/>
      <c r="T3" s="401">
        <f t="shared" ref="T3" si="5">R3+1</f>
        <v>44793</v>
      </c>
      <c r="U3" s="402"/>
      <c r="V3" s="401">
        <f t="shared" ref="V3" si="6">T3+1</f>
        <v>44794</v>
      </c>
      <c r="W3" s="402"/>
      <c r="X3" s="401">
        <f t="shared" ref="X3" si="7">V3+1</f>
        <v>44795</v>
      </c>
      <c r="Y3" s="402"/>
      <c r="Z3" s="401">
        <f t="shared" ref="Z3" si="8">X3+1</f>
        <v>44796</v>
      </c>
      <c r="AA3" s="402"/>
      <c r="AB3" s="401">
        <f t="shared" ref="AB3" si="9">Z3+1</f>
        <v>44797</v>
      </c>
      <c r="AC3" s="402"/>
    </row>
    <row r="4" spans="1:29" ht="16.8" thickTop="1" thickBot="1" x14ac:dyDescent="0.35">
      <c r="A4" s="212"/>
      <c r="B4" s="213"/>
      <c r="C4" s="212"/>
      <c r="E4" s="1" t="s">
        <v>32</v>
      </c>
      <c r="F4" s="392" t="s">
        <v>29</v>
      </c>
      <c r="G4" s="393"/>
      <c r="H4" s="392" t="s">
        <v>0</v>
      </c>
      <c r="I4" s="393"/>
      <c r="J4" s="392" t="s">
        <v>2</v>
      </c>
      <c r="K4" s="393"/>
      <c r="L4" s="392" t="s">
        <v>3</v>
      </c>
      <c r="M4" s="393"/>
      <c r="N4" s="392" t="s">
        <v>4</v>
      </c>
      <c r="O4" s="393"/>
      <c r="P4" s="392" t="s">
        <v>5</v>
      </c>
      <c r="Q4" s="393"/>
      <c r="R4" s="392" t="s">
        <v>6</v>
      </c>
      <c r="S4" s="393"/>
      <c r="T4" s="392" t="s">
        <v>7</v>
      </c>
      <c r="U4" s="393"/>
      <c r="V4" s="392" t="s">
        <v>8</v>
      </c>
      <c r="W4" s="393"/>
      <c r="X4" s="392" t="s">
        <v>15</v>
      </c>
      <c r="Y4" s="393"/>
      <c r="Z4" s="392" t="s">
        <v>16</v>
      </c>
      <c r="AA4" s="393"/>
      <c r="AB4" s="392" t="s">
        <v>30</v>
      </c>
      <c r="AC4" s="393"/>
    </row>
    <row r="5" spans="1:29" ht="15" thickTop="1" x14ac:dyDescent="0.3">
      <c r="A5" s="212"/>
      <c r="B5" s="320" t="s">
        <v>247</v>
      </c>
      <c r="C5" s="212"/>
      <c r="E5" s="1" t="str">
        <f>'Food Serves'!J5</f>
        <v>Accommodation #1</v>
      </c>
      <c r="F5" s="390" t="str">
        <f>data_formula_legend!E65</f>
        <v>Mena Creek Flower House</v>
      </c>
      <c r="G5" s="391"/>
      <c r="H5" s="390" t="str">
        <f>data_formula_legend!E72</f>
        <v>Chillagoe Cabins</v>
      </c>
      <c r="I5" s="391"/>
      <c r="J5" s="390" t="str">
        <f>data_formula_legend!E78</f>
        <v>Ferntrees</v>
      </c>
      <c r="K5" s="391"/>
      <c r="L5" s="390" t="str">
        <f>data_formula_legend!E84</f>
        <v>Milkwood Lodge</v>
      </c>
      <c r="M5" s="391"/>
      <c r="N5" s="390" t="str">
        <f>data_formula_legend!E90</f>
        <v>Wildwishes</v>
      </c>
      <c r="O5" s="391"/>
      <c r="P5" s="390" t="str">
        <f>data_formula_legend!E96</f>
        <v>GreenHoose</v>
      </c>
      <c r="Q5" s="391"/>
      <c r="R5" s="390" t="str">
        <f>data_formula_legend!E103</f>
        <v>GreenHoose</v>
      </c>
      <c r="S5" s="391"/>
      <c r="T5" s="390" t="str">
        <f>data_formula_legend!E110</f>
        <v>Bramwell Station</v>
      </c>
      <c r="U5" s="391"/>
      <c r="V5" s="390" t="str">
        <f>data_formula_legend!E118</f>
        <v>Punsand Bay</v>
      </c>
      <c r="W5" s="391"/>
      <c r="X5" s="390" t="str">
        <f>data_formula_legend!E125</f>
        <v>Punsand Bay</v>
      </c>
      <c r="Y5" s="391"/>
      <c r="Z5" s="390" t="str">
        <f>data_formula_legend!E132</f>
        <v>Cairns Sheridan Hotel</v>
      </c>
      <c r="AA5" s="391"/>
      <c r="AB5" s="390"/>
      <c r="AC5" s="391"/>
    </row>
    <row r="6" spans="1:29" ht="15" thickBot="1" x14ac:dyDescent="0.35">
      <c r="A6" s="212"/>
      <c r="B6" s="321"/>
      <c r="C6" s="212"/>
      <c r="E6" s="1" t="str">
        <f>'Food Serves'!J6</f>
        <v>Accommodation #2</v>
      </c>
      <c r="F6" s="390" t="str">
        <f>data_formula_legend!E66</f>
        <v>Paronella Park Cabin</v>
      </c>
      <c r="G6" s="391"/>
      <c r="H6" s="390" t="str">
        <f>data_formula_legend!E73</f>
        <v>Chillagoe Ecolodge</v>
      </c>
      <c r="I6" s="391"/>
      <c r="J6" s="390" t="str">
        <f>data_formula_legend!E79</f>
        <v>A None</v>
      </c>
      <c r="K6" s="391"/>
      <c r="L6" s="390" t="str">
        <f>data_formula_legend!E85</f>
        <v>River of Gold Motel</v>
      </c>
      <c r="M6" s="391"/>
      <c r="N6" s="390" t="str">
        <f>data_formula_legend!E91</f>
        <v>A None</v>
      </c>
      <c r="O6" s="391"/>
      <c r="P6" s="390" t="str">
        <f>data_formula_legend!E97</f>
        <v>A None</v>
      </c>
      <c r="Q6" s="391"/>
      <c r="R6" s="390" t="str">
        <f>data_formula_legend!E104</f>
        <v>A None</v>
      </c>
      <c r="S6" s="391"/>
      <c r="T6" s="390" t="str">
        <f>data_formula_legend!E111</f>
        <v>A None</v>
      </c>
      <c r="U6" s="391"/>
      <c r="V6" s="390" t="str">
        <f>data_formula_legend!E119</f>
        <v>A None</v>
      </c>
      <c r="W6" s="391"/>
      <c r="X6" s="390" t="str">
        <f>data_formula_legend!E126</f>
        <v>A None</v>
      </c>
      <c r="Y6" s="391"/>
      <c r="Z6" s="390" t="str">
        <f>data_formula_legend!E133</f>
        <v>A None</v>
      </c>
      <c r="AA6" s="391"/>
      <c r="AB6" s="390"/>
      <c r="AC6" s="391"/>
    </row>
    <row r="7" spans="1:29" ht="16.8" thickTop="1" thickBot="1" x14ac:dyDescent="0.35">
      <c r="A7" s="214"/>
      <c r="B7" s="213"/>
      <c r="C7" s="214"/>
      <c r="E7" s="1" t="str">
        <f>'Food Serves'!J7</f>
        <v>Accommodation #3</v>
      </c>
      <c r="F7" s="390" t="str">
        <f>data_formula_legend!E67</f>
        <v>Mena Creek Hotel</v>
      </c>
      <c r="G7" s="391"/>
      <c r="H7" s="390" t="str">
        <f>data_formula_legend!E74</f>
        <v>Cockatoo Hotel</v>
      </c>
      <c r="I7" s="391"/>
      <c r="J7" s="390" t="str">
        <f>data_formula_legend!E80</f>
        <v>A None</v>
      </c>
      <c r="K7" s="391"/>
      <c r="L7" s="390" t="str">
        <f>data_formula_legend!E86</f>
        <v>A None</v>
      </c>
      <c r="M7" s="391"/>
      <c r="N7" s="390" t="str">
        <f>data_formula_legend!E92</f>
        <v>A None</v>
      </c>
      <c r="O7" s="391"/>
      <c r="P7" s="390" t="str">
        <f>data_formula_legend!E98</f>
        <v>A None</v>
      </c>
      <c r="Q7" s="391"/>
      <c r="R7" s="390" t="str">
        <f>data_formula_legend!E105</f>
        <v>A None</v>
      </c>
      <c r="S7" s="391"/>
      <c r="T7" s="390" t="str">
        <f>data_formula_legend!E112</f>
        <v>A None</v>
      </c>
      <c r="U7" s="391"/>
      <c r="V7" s="390" t="str">
        <f>data_formula_legend!E120</f>
        <v>A None</v>
      </c>
      <c r="W7" s="391"/>
      <c r="X7" s="390" t="str">
        <f>data_formula_legend!E127</f>
        <v>A None</v>
      </c>
      <c r="Y7" s="391"/>
      <c r="Z7" s="390" t="str">
        <f>data_formula_legend!E134</f>
        <v>A None</v>
      </c>
      <c r="AA7" s="391"/>
      <c r="AB7" s="390"/>
      <c r="AC7" s="391"/>
    </row>
    <row r="8" spans="1:29" ht="15" thickTop="1" x14ac:dyDescent="0.3">
      <c r="A8" s="212"/>
      <c r="B8" s="318" t="s">
        <v>265</v>
      </c>
      <c r="C8" s="212"/>
      <c r="E8" s="1" t="str">
        <f>'Food Serves'!J8</f>
        <v>Accommodation #4</v>
      </c>
      <c r="F8" s="390">
        <f>data_formula_legend!E68</f>
        <v>0</v>
      </c>
      <c r="G8" s="391"/>
      <c r="H8" s="390">
        <f>data_formula_legend!E75</f>
        <v>0</v>
      </c>
      <c r="I8" s="391"/>
      <c r="J8" s="390">
        <f>data_formula_legend!E81</f>
        <v>0</v>
      </c>
      <c r="K8" s="391"/>
      <c r="L8" s="390">
        <f>data_formula_legend!E87</f>
        <v>0</v>
      </c>
      <c r="M8" s="391"/>
      <c r="N8" s="390">
        <f>data_formula_legend!E93</f>
        <v>0</v>
      </c>
      <c r="O8" s="391"/>
      <c r="P8" s="390" t="str">
        <f>data_formula_legend!E99</f>
        <v>A None</v>
      </c>
      <c r="Q8" s="391"/>
      <c r="R8" s="390" t="str">
        <f>data_formula_legend!E106</f>
        <v>A None</v>
      </c>
      <c r="S8" s="391"/>
      <c r="T8" s="390" t="str">
        <f>data_formula_legend!E113</f>
        <v>A None</v>
      </c>
      <c r="U8" s="391"/>
      <c r="V8" s="390" t="str">
        <f>data_formula_legend!E121</f>
        <v>A None</v>
      </c>
      <c r="W8" s="391"/>
      <c r="X8" s="390" t="str">
        <f>data_formula_legend!E128</f>
        <v>A None</v>
      </c>
      <c r="Y8" s="391"/>
      <c r="Z8" s="390" t="str">
        <f>data_formula_legend!E135</f>
        <v>A None</v>
      </c>
      <c r="AA8" s="391"/>
      <c r="AB8" s="388"/>
      <c r="AC8" s="389"/>
    </row>
    <row r="9" spans="1:29" ht="15" customHeight="1" thickBot="1" x14ac:dyDescent="0.35">
      <c r="A9" s="212"/>
      <c r="B9" s="319"/>
      <c r="C9" s="215"/>
      <c r="F9" s="221" t="s">
        <v>76</v>
      </c>
      <c r="G9" s="38" t="s">
        <v>77</v>
      </c>
      <c r="H9" s="221" t="s">
        <v>76</v>
      </c>
      <c r="I9" s="38" t="s">
        <v>77</v>
      </c>
      <c r="J9" s="221" t="s">
        <v>76</v>
      </c>
      <c r="K9" s="38" t="s">
        <v>77</v>
      </c>
      <c r="L9" s="221" t="s">
        <v>76</v>
      </c>
      <c r="M9" s="38" t="s">
        <v>77</v>
      </c>
      <c r="N9" s="221" t="s">
        <v>76</v>
      </c>
      <c r="O9" s="38" t="s">
        <v>77</v>
      </c>
      <c r="P9" s="221" t="s">
        <v>76</v>
      </c>
      <c r="Q9" s="38" t="s">
        <v>77</v>
      </c>
      <c r="R9" s="221" t="s">
        <v>76</v>
      </c>
      <c r="S9" s="38" t="s">
        <v>77</v>
      </c>
      <c r="T9" s="221" t="s">
        <v>76</v>
      </c>
      <c r="U9" s="38" t="s">
        <v>77</v>
      </c>
      <c r="V9" s="221" t="s">
        <v>76</v>
      </c>
      <c r="W9" s="38" t="s">
        <v>77</v>
      </c>
      <c r="X9" s="221" t="s">
        <v>76</v>
      </c>
      <c r="Y9" s="38" t="s">
        <v>77</v>
      </c>
      <c r="Z9" s="221" t="s">
        <v>76</v>
      </c>
      <c r="AA9" s="38" t="s">
        <v>77</v>
      </c>
      <c r="AB9" s="221" t="s">
        <v>76</v>
      </c>
      <c r="AC9" s="38" t="s">
        <v>77</v>
      </c>
    </row>
    <row r="10" spans="1:29" ht="16.8" thickTop="1" thickBot="1" x14ac:dyDescent="0.35">
      <c r="A10" s="212"/>
      <c r="B10" s="213"/>
      <c r="C10" s="215"/>
      <c r="D10" s="398" t="s">
        <v>97</v>
      </c>
      <c r="E10" s="33" t="s">
        <v>11</v>
      </c>
      <c r="F10" s="39" t="str">
        <f>'Food Serves'!K24</f>
        <v>N/A</v>
      </c>
      <c r="G10" s="39">
        <f>'Food Serves'!L24</f>
        <v>0</v>
      </c>
      <c r="H10" s="39" t="str">
        <f>'Food Serves'!M24</f>
        <v>Continental</v>
      </c>
      <c r="I10" s="39">
        <f>'Food Serves'!N24</f>
        <v>13</v>
      </c>
      <c r="J10" s="39" t="str">
        <f>'Food Serves'!O24</f>
        <v>N/A</v>
      </c>
      <c r="K10" s="39">
        <f>'Food Serves'!P24</f>
        <v>0</v>
      </c>
      <c r="L10" s="39" t="str">
        <f>'Food Serves'!Q24</f>
        <v>N/A</v>
      </c>
      <c r="M10" s="39">
        <f>'Food Serves'!R24</f>
        <v>0</v>
      </c>
      <c r="N10" s="39" t="str">
        <f>'Food Serves'!S24</f>
        <v>N/A</v>
      </c>
      <c r="O10" s="39">
        <f>'Food Serves'!T24</f>
        <v>0</v>
      </c>
      <c r="P10" s="39" t="str">
        <f>'Food Serves'!U24</f>
        <v>Bacon, Eggs &amp; Sausages</v>
      </c>
      <c r="Q10" s="39">
        <f>'Food Serves'!V24</f>
        <v>11</v>
      </c>
      <c r="R10" s="39" t="str">
        <f>'Food Serves'!W24</f>
        <v>Bacon, Eggs &amp; Sausages</v>
      </c>
      <c r="S10" s="39">
        <f>'Food Serves'!X24</f>
        <v>11</v>
      </c>
      <c r="T10" s="39" t="str">
        <f>'Food Serves'!Y24</f>
        <v>Continental</v>
      </c>
      <c r="U10" s="39">
        <f>'Food Serves'!Z24</f>
        <v>11</v>
      </c>
      <c r="V10" s="39" t="str">
        <f>'Food Serves'!AA24</f>
        <v>Continental</v>
      </c>
      <c r="W10" s="39">
        <f>'Food Serves'!AB24</f>
        <v>11</v>
      </c>
      <c r="X10" s="39" t="str">
        <f>'Food Serves'!AC24</f>
        <v>Bacon, Eggs &amp; Sausages</v>
      </c>
      <c r="Y10" s="39">
        <f>'Food Serves'!AD24</f>
        <v>11</v>
      </c>
      <c r="Z10" s="39" t="str">
        <f>'Food Serves'!AE24</f>
        <v>Continental</v>
      </c>
      <c r="AA10" s="39">
        <f>'Food Serves'!AF24</f>
        <v>11</v>
      </c>
      <c r="AB10" s="39" t="str">
        <f>'Food Serves'!AG24</f>
        <v>N/A</v>
      </c>
      <c r="AC10" s="39">
        <f>'Food Serves'!AH24</f>
        <v>0</v>
      </c>
    </row>
    <row r="11" spans="1:29" ht="15" customHeight="1" thickTop="1" x14ac:dyDescent="0.3">
      <c r="A11" s="212"/>
      <c r="B11" s="318" t="s">
        <v>511</v>
      </c>
      <c r="C11" s="215"/>
      <c r="D11" s="399"/>
      <c r="E11" s="30" t="s">
        <v>9</v>
      </c>
      <c r="F11" s="39" t="str">
        <f>'Food Serves'!K25</f>
        <v>N/A</v>
      </c>
      <c r="G11" s="39">
        <f>'Food Serves'!L25</f>
        <v>0</v>
      </c>
      <c r="H11" s="39" t="str">
        <f>'Food Serves'!M25</f>
        <v>N/A</v>
      </c>
      <c r="I11" s="39">
        <f>'Food Serves'!N25</f>
        <v>0</v>
      </c>
      <c r="J11" s="39" t="str">
        <f>'Food Serves'!O25</f>
        <v>N/A</v>
      </c>
      <c r="K11" s="39">
        <f>'Food Serves'!P25</f>
        <v>0</v>
      </c>
      <c r="L11" s="39" t="str">
        <f>'Food Serves'!Q25</f>
        <v>Beef Wraps</v>
      </c>
      <c r="M11" s="39">
        <f>'Food Serves'!R25</f>
        <v>14</v>
      </c>
      <c r="N11" s="39" t="str">
        <f>'Food Serves'!S25</f>
        <v>Chicken Wraps</v>
      </c>
      <c r="O11" s="39">
        <f>'Food Serves'!T25</f>
        <v>11</v>
      </c>
      <c r="P11" s="39" t="str">
        <f>'Food Serves'!U25</f>
        <v>Beef Wraps</v>
      </c>
      <c r="Q11" s="39">
        <f>'Food Serves'!V25</f>
        <v>11</v>
      </c>
      <c r="R11" s="39" t="str">
        <f>'Food Serves'!W25</f>
        <v>Toasted Chicken Paninis</v>
      </c>
      <c r="S11" s="39">
        <f>'Food Serves'!X25</f>
        <v>11</v>
      </c>
      <c r="T11" s="39" t="str">
        <f>'Food Serves'!Y25</f>
        <v>chickpea curry</v>
      </c>
      <c r="U11" s="39">
        <f>'Food Serves'!Z25</f>
        <v>11</v>
      </c>
      <c r="V11" s="39" t="str">
        <f>'Food Serves'!AA25</f>
        <v>Potato Salad with Chirizo</v>
      </c>
      <c r="W11" s="39">
        <f>'Food Serves'!AB25</f>
        <v>11</v>
      </c>
      <c r="X11" s="39" t="str">
        <f>'Food Serves'!AC25</f>
        <v>N/A</v>
      </c>
      <c r="Y11" s="39">
        <f>'Food Serves'!AD25</f>
        <v>0</v>
      </c>
      <c r="Z11" s="39" t="str">
        <f>'Food Serves'!AE25</f>
        <v>N/A</v>
      </c>
      <c r="AA11" s="39">
        <f>'Food Serves'!AF25</f>
        <v>0</v>
      </c>
      <c r="AB11" s="39" t="str">
        <f>'Food Serves'!AG25</f>
        <v>N/A</v>
      </c>
      <c r="AC11" s="39">
        <f>'Food Serves'!AH25</f>
        <v>0</v>
      </c>
    </row>
    <row r="12" spans="1:29" ht="15" customHeight="1" thickBot="1" x14ac:dyDescent="0.35">
      <c r="A12" s="212"/>
      <c r="B12" s="319"/>
      <c r="C12" s="215"/>
      <c r="D12" s="400"/>
      <c r="E12" s="34" t="s">
        <v>1</v>
      </c>
      <c r="F12" s="39" t="str">
        <f>'Food Serves'!K26</f>
        <v>N/A</v>
      </c>
      <c r="G12" s="39">
        <f>'Food Serves'!L26</f>
        <v>0</v>
      </c>
      <c r="H12" s="39" t="str">
        <f>'Food Serves'!M26</f>
        <v>N/A</v>
      </c>
      <c r="I12" s="39">
        <f>'Food Serves'!N26</f>
        <v>0</v>
      </c>
      <c r="J12" s="39" t="str">
        <f>'Food Serves'!O26</f>
        <v>N/A</v>
      </c>
      <c r="K12" s="39">
        <f>'Food Serves'!P26</f>
        <v>0</v>
      </c>
      <c r="L12" s="39" t="str">
        <f>'Food Serves'!Q26</f>
        <v>N/A</v>
      </c>
      <c r="M12" s="39">
        <f>'Food Serves'!R26</f>
        <v>0</v>
      </c>
      <c r="N12" s="39" t="str">
        <f>'Food Serves'!S26</f>
        <v>Chicken Fried Rice</v>
      </c>
      <c r="O12" s="39">
        <f>'Food Serves'!T26</f>
        <v>11</v>
      </c>
      <c r="P12" s="39" t="str">
        <f>'Food Serves'!U26</f>
        <v>Beef &amp; soba noodles</v>
      </c>
      <c r="Q12" s="39">
        <f>'Food Serves'!V26</f>
        <v>11</v>
      </c>
      <c r="R12" s="39" t="str">
        <f>'Food Serves'!W26</f>
        <v>Pulled Pork Nachos</v>
      </c>
      <c r="S12" s="39">
        <f>'Food Serves'!X26</f>
        <v>11</v>
      </c>
      <c r="T12" s="39" t="str">
        <f>'Food Serves'!Y26</f>
        <v>Spaghetti Bolognese</v>
      </c>
      <c r="U12" s="39">
        <f>'Food Serves'!Z26</f>
        <v>11</v>
      </c>
      <c r="V12" s="39" t="str">
        <f>'Food Serves'!AA26</f>
        <v>N/A</v>
      </c>
      <c r="W12" s="39">
        <f>'Food Serves'!AB26</f>
        <v>0</v>
      </c>
      <c r="X12" s="39" t="str">
        <f>'Food Serves'!AC26</f>
        <v>Steak &amp; mash</v>
      </c>
      <c r="Y12" s="39">
        <f>'Food Serves'!AD26</f>
        <v>11</v>
      </c>
      <c r="Z12" s="39" t="str">
        <f>'Food Serves'!AE26</f>
        <v>N/A</v>
      </c>
      <c r="AA12" s="39">
        <f>'Food Serves'!AF26</f>
        <v>0</v>
      </c>
      <c r="AB12" s="39" t="str">
        <f>'Food Serves'!AG26</f>
        <v>N/A</v>
      </c>
      <c r="AC12" s="39">
        <f>'Food Serves'!AH26</f>
        <v>0</v>
      </c>
    </row>
    <row r="13" spans="1:29" ht="16.8" thickTop="1" thickBot="1" x14ac:dyDescent="0.35">
      <c r="A13" s="212"/>
      <c r="B13" s="213"/>
      <c r="C13" s="215"/>
    </row>
    <row r="14" spans="1:29" ht="15" customHeight="1" thickTop="1" x14ac:dyDescent="0.3">
      <c r="A14" s="212"/>
      <c r="B14" s="318" t="s">
        <v>512</v>
      </c>
      <c r="C14" s="215"/>
      <c r="D14" s="406" t="s">
        <v>143</v>
      </c>
      <c r="E14" s="30" t="s">
        <v>71</v>
      </c>
      <c r="F14" s="4">
        <f>G10+I10+K10+M10+O10+Q10+S10+U10+W10+Y10+AA10+AC10</f>
        <v>79</v>
      </c>
    </row>
    <row r="15" spans="1:29" ht="15" customHeight="1" thickBot="1" x14ac:dyDescent="0.35">
      <c r="A15" s="212"/>
      <c r="B15" s="319"/>
      <c r="C15" s="215"/>
      <c r="D15" s="406"/>
      <c r="E15" s="30" t="s">
        <v>140</v>
      </c>
      <c r="F15" s="4">
        <f>G11+I11+K11+M11+O11+Q11+S11+U11+W11+Y11+AA11+AC11</f>
        <v>69</v>
      </c>
    </row>
    <row r="16" spans="1:29" ht="16.8" thickTop="1" thickBot="1" x14ac:dyDescent="0.35">
      <c r="A16" s="212"/>
      <c r="B16" s="213"/>
      <c r="C16" s="215"/>
      <c r="D16" s="407"/>
      <c r="E16" s="34" t="s">
        <v>139</v>
      </c>
      <c r="F16" s="14">
        <f>G12+I12+K12+M12+O12+Q12+S12+U12+W12+Y12+AA12+AC12</f>
        <v>55</v>
      </c>
    </row>
    <row r="17" spans="1:29" ht="15" customHeight="1" thickTop="1" x14ac:dyDescent="0.3">
      <c r="A17" s="212"/>
      <c r="B17" s="318" t="s">
        <v>266</v>
      </c>
      <c r="C17" s="215"/>
    </row>
    <row r="18" spans="1:29" ht="15" customHeight="1" thickBot="1" x14ac:dyDescent="0.35">
      <c r="A18" s="212"/>
      <c r="B18" s="319"/>
      <c r="C18" s="215"/>
      <c r="F18" s="405" t="s">
        <v>29</v>
      </c>
      <c r="G18" s="405"/>
      <c r="H18" s="405" t="s">
        <v>0</v>
      </c>
      <c r="I18" s="405"/>
      <c r="J18" s="405" t="s">
        <v>2</v>
      </c>
      <c r="K18" s="405"/>
      <c r="L18" s="405" t="s">
        <v>3</v>
      </c>
      <c r="M18" s="405"/>
      <c r="N18" s="405" t="s">
        <v>4</v>
      </c>
      <c r="O18" s="405"/>
      <c r="P18" s="405" t="s">
        <v>5</v>
      </c>
      <c r="Q18" s="405"/>
      <c r="R18" s="405" t="s">
        <v>6</v>
      </c>
      <c r="S18" s="405"/>
      <c r="T18" s="405" t="s">
        <v>7</v>
      </c>
      <c r="U18" s="405"/>
      <c r="V18" s="405" t="s">
        <v>8</v>
      </c>
      <c r="W18" s="405"/>
      <c r="X18" s="405" t="s">
        <v>15</v>
      </c>
      <c r="Y18" s="405"/>
      <c r="Z18" s="405" t="s">
        <v>16</v>
      </c>
      <c r="AA18" s="405"/>
      <c r="AB18" s="405" t="s">
        <v>30</v>
      </c>
      <c r="AC18" s="405"/>
    </row>
    <row r="19" spans="1:29" ht="16.8" thickTop="1" thickBot="1" x14ac:dyDescent="0.35">
      <c r="A19" s="212"/>
      <c r="B19" s="213"/>
      <c r="C19" s="215"/>
      <c r="F19" s="37" t="s">
        <v>76</v>
      </c>
      <c r="G19" s="38" t="s">
        <v>77</v>
      </c>
      <c r="H19" s="37" t="s">
        <v>76</v>
      </c>
      <c r="I19" s="38" t="s">
        <v>77</v>
      </c>
      <c r="J19" s="37" t="s">
        <v>76</v>
      </c>
      <c r="K19" s="38" t="s">
        <v>77</v>
      </c>
      <c r="L19" s="37" t="s">
        <v>76</v>
      </c>
      <c r="M19" s="38" t="s">
        <v>77</v>
      </c>
      <c r="N19" s="37" t="s">
        <v>76</v>
      </c>
      <c r="O19" s="38" t="s">
        <v>77</v>
      </c>
      <c r="P19" s="37" t="s">
        <v>76</v>
      </c>
      <c r="Q19" s="38" t="s">
        <v>77</v>
      </c>
      <c r="R19" s="37" t="s">
        <v>76</v>
      </c>
      <c r="S19" s="38" t="s">
        <v>77</v>
      </c>
      <c r="T19" s="37" t="s">
        <v>76</v>
      </c>
      <c r="U19" s="38" t="s">
        <v>77</v>
      </c>
      <c r="V19" s="37" t="s">
        <v>76</v>
      </c>
      <c r="W19" s="38" t="s">
        <v>77</v>
      </c>
      <c r="X19" s="37" t="s">
        <v>76</v>
      </c>
      <c r="Y19" s="38" t="s">
        <v>77</v>
      </c>
      <c r="Z19" s="37" t="s">
        <v>76</v>
      </c>
      <c r="AA19" s="38" t="s">
        <v>77</v>
      </c>
      <c r="AB19" s="37" t="s">
        <v>76</v>
      </c>
      <c r="AC19" s="38" t="s">
        <v>77</v>
      </c>
    </row>
    <row r="20" spans="1:29" ht="15" customHeight="1" thickTop="1" x14ac:dyDescent="0.3">
      <c r="A20" s="212"/>
      <c r="B20" s="318" t="s">
        <v>267</v>
      </c>
      <c r="C20" s="215"/>
      <c r="D20" s="383" t="s">
        <v>120</v>
      </c>
      <c r="E20" s="33" t="s">
        <v>11</v>
      </c>
      <c r="F20" s="39" t="str">
        <f>'Food Serves'!K38</f>
        <v>N/A</v>
      </c>
      <c r="G20" s="39">
        <f>'Food Serves'!L38</f>
        <v>0</v>
      </c>
      <c r="H20" s="39" t="str">
        <f>'Food Serves'!M38</f>
        <v>Continental</v>
      </c>
      <c r="I20" s="39">
        <f>'Food Serves'!N38</f>
        <v>1</v>
      </c>
      <c r="J20" s="39" t="str">
        <f>'Food Serves'!O38</f>
        <v>N/A</v>
      </c>
      <c r="K20" s="39">
        <f>'Food Serves'!P38</f>
        <v>0</v>
      </c>
      <c r="L20" s="39" t="str">
        <f>'Food Serves'!Q38</f>
        <v>N/A</v>
      </c>
      <c r="M20" s="39">
        <f>'Food Serves'!R38</f>
        <v>0</v>
      </c>
      <c r="N20" s="39" t="str">
        <f>'Food Serves'!S38</f>
        <v>N/A</v>
      </c>
      <c r="O20" s="39">
        <f>'Food Serves'!T38</f>
        <v>0</v>
      </c>
      <c r="P20" s="39" t="str">
        <f>'Food Serves'!U38</f>
        <v>Bacon, Eggs &amp; Sausages</v>
      </c>
      <c r="Q20" s="39">
        <f>'Food Serves'!V38</f>
        <v>1</v>
      </c>
      <c r="R20" s="39" t="str">
        <f>'Food Serves'!W38</f>
        <v>Bacon, Eggs &amp; Sausages</v>
      </c>
      <c r="S20" s="39">
        <f>'Food Serves'!X38</f>
        <v>1</v>
      </c>
      <c r="T20" s="39" t="str">
        <f>'Food Serves'!Y38</f>
        <v>Continental</v>
      </c>
      <c r="U20" s="39">
        <f>'Food Serves'!Z38</f>
        <v>1</v>
      </c>
      <c r="V20" s="39" t="str">
        <f>'Food Serves'!AA38</f>
        <v>Continental</v>
      </c>
      <c r="W20" s="39">
        <f>'Food Serves'!AB38</f>
        <v>1</v>
      </c>
      <c r="X20" s="39" t="str">
        <f>'Food Serves'!AC38</f>
        <v>Bacon, Eggs &amp; Sausages</v>
      </c>
      <c r="Y20" s="39">
        <f>'Food Serves'!AD38</f>
        <v>1</v>
      </c>
      <c r="Z20" s="39" t="str">
        <f>'Food Serves'!AE38</f>
        <v>Continental</v>
      </c>
      <c r="AA20" s="39">
        <f>'Food Serves'!AF38</f>
        <v>1</v>
      </c>
      <c r="AB20" s="39" t="str">
        <f>'Food Serves'!AG38</f>
        <v>N/A</v>
      </c>
      <c r="AC20" s="39">
        <f>'Food Serves'!AH38</f>
        <v>0</v>
      </c>
    </row>
    <row r="21" spans="1:29" ht="15" customHeight="1" thickBot="1" x14ac:dyDescent="0.35">
      <c r="A21" s="212"/>
      <c r="B21" s="319"/>
      <c r="C21" s="215"/>
      <c r="D21" s="384"/>
      <c r="E21" s="30" t="s">
        <v>9</v>
      </c>
      <c r="F21" s="39" t="str">
        <f>'Food Serves'!K39</f>
        <v>N/A</v>
      </c>
      <c r="G21" s="39">
        <f>'Food Serves'!L39</f>
        <v>0</v>
      </c>
      <c r="H21" s="39" t="str">
        <f>'Food Serves'!M39</f>
        <v>N/A</v>
      </c>
      <c r="I21" s="39">
        <f>'Food Serves'!N39</f>
        <v>0</v>
      </c>
      <c r="J21" s="39" t="str">
        <f>'Food Serves'!O39</f>
        <v>N/A</v>
      </c>
      <c r="K21" s="39">
        <f>'Food Serves'!P39</f>
        <v>0</v>
      </c>
      <c r="L21" s="39" t="str">
        <f>'Food Serves'!Q39</f>
        <v>Beef Wraps</v>
      </c>
      <c r="M21" s="39">
        <f>'Food Serves'!R39</f>
        <v>1</v>
      </c>
      <c r="N21" s="39" t="str">
        <f>'Food Serves'!S39</f>
        <v>Chicken Wraps</v>
      </c>
      <c r="O21" s="39">
        <f>'Food Serves'!T39</f>
        <v>1</v>
      </c>
      <c r="P21" s="39" t="str">
        <f>'Food Serves'!U39</f>
        <v>Beef Wraps</v>
      </c>
      <c r="Q21" s="39">
        <f>'Food Serves'!V39</f>
        <v>1</v>
      </c>
      <c r="R21" s="39" t="str">
        <f>'Food Serves'!W39</f>
        <v>Toasted Chicken Paninis</v>
      </c>
      <c r="S21" s="39">
        <f>'Food Serves'!X39</f>
        <v>1</v>
      </c>
      <c r="T21" s="39" t="str">
        <f>'Food Serves'!Y39</f>
        <v>chickpea curry</v>
      </c>
      <c r="U21" s="39">
        <f>'Food Serves'!Z39</f>
        <v>1</v>
      </c>
      <c r="V21" s="39" t="str">
        <f>'Food Serves'!AA39</f>
        <v>Potato Salad with Chirizo</v>
      </c>
      <c r="W21" s="39">
        <f>'Food Serves'!AB39</f>
        <v>1</v>
      </c>
      <c r="X21" s="39" t="str">
        <f>'Food Serves'!AC39</f>
        <v>N/A</v>
      </c>
      <c r="Y21" s="39">
        <f>'Food Serves'!AD39</f>
        <v>0</v>
      </c>
      <c r="Z21" s="39" t="str">
        <f>'Food Serves'!AE39</f>
        <v>N/A</v>
      </c>
      <c r="AA21" s="39">
        <f>'Food Serves'!AF39</f>
        <v>0</v>
      </c>
      <c r="AB21" s="39" t="str">
        <f>'Food Serves'!AG39</f>
        <v>N/A</v>
      </c>
      <c r="AC21" s="39">
        <f>'Food Serves'!AH39</f>
        <v>0</v>
      </c>
    </row>
    <row r="22" spans="1:29" ht="16.8" thickTop="1" thickBot="1" x14ac:dyDescent="0.35">
      <c r="A22" s="212"/>
      <c r="B22" s="213"/>
      <c r="C22" s="215"/>
      <c r="D22" s="385"/>
      <c r="E22" s="34" t="s">
        <v>1</v>
      </c>
      <c r="F22" s="39" t="str">
        <f>'Food Serves'!K40</f>
        <v>N/A</v>
      </c>
      <c r="G22" s="39">
        <f>'Food Serves'!L40</f>
        <v>0</v>
      </c>
      <c r="H22" s="39" t="str">
        <f>'Food Serves'!M40</f>
        <v>N/A</v>
      </c>
      <c r="I22" s="39">
        <f>'Food Serves'!N40</f>
        <v>0</v>
      </c>
      <c r="J22" s="39" t="str">
        <f>'Food Serves'!O40</f>
        <v>N/A</v>
      </c>
      <c r="K22" s="39">
        <f>'Food Serves'!P40</f>
        <v>0</v>
      </c>
      <c r="L22" s="39" t="str">
        <f>'Food Serves'!Q40</f>
        <v>N/A</v>
      </c>
      <c r="M22" s="39">
        <f>'Food Serves'!R40</f>
        <v>0</v>
      </c>
      <c r="N22" s="39" t="str">
        <f>'Food Serves'!S40</f>
        <v>Chicken Fried Rice</v>
      </c>
      <c r="O22" s="39">
        <f>'Food Serves'!T40</f>
        <v>1</v>
      </c>
      <c r="P22" s="39" t="str">
        <f>'Food Serves'!U40</f>
        <v>Beef &amp; soba noodles</v>
      </c>
      <c r="Q22" s="39">
        <f>'Food Serves'!V40</f>
        <v>1</v>
      </c>
      <c r="R22" s="39" t="str">
        <f>'Food Serves'!W40</f>
        <v>Pulled Pork Nachos</v>
      </c>
      <c r="S22" s="39">
        <f>'Food Serves'!X40</f>
        <v>1</v>
      </c>
      <c r="T22" s="39" t="str">
        <f>'Food Serves'!Y40</f>
        <v>Spaghetti Bolognese</v>
      </c>
      <c r="U22" s="39">
        <f>'Food Serves'!Z40</f>
        <v>1</v>
      </c>
      <c r="V22" s="39" t="str">
        <f>'Food Serves'!AA40</f>
        <v>N/A</v>
      </c>
      <c r="W22" s="39">
        <f>'Food Serves'!AB40</f>
        <v>0</v>
      </c>
      <c r="X22" s="39" t="str">
        <f>'Food Serves'!AC40</f>
        <v>Steak &amp; mash</v>
      </c>
      <c r="Y22" s="39">
        <f>'Food Serves'!AD40</f>
        <v>1</v>
      </c>
      <c r="Z22" s="39" t="str">
        <f>'Food Serves'!AE40</f>
        <v>N/A</v>
      </c>
      <c r="AA22" s="39">
        <f>'Food Serves'!AF40</f>
        <v>0</v>
      </c>
      <c r="AB22" s="39" t="str">
        <f>'Food Serves'!AG40</f>
        <v>N/A</v>
      </c>
      <c r="AC22" s="39">
        <f>'Food Serves'!AH40</f>
        <v>0</v>
      </c>
    </row>
    <row r="23" spans="1:29" ht="15" customHeight="1" thickTop="1" x14ac:dyDescent="0.3">
      <c r="A23" s="212"/>
      <c r="B23" s="318" t="s">
        <v>268</v>
      </c>
      <c r="C23" s="215"/>
    </row>
    <row r="24" spans="1:29" ht="15" customHeight="1" thickBot="1" x14ac:dyDescent="0.35">
      <c r="A24" s="212"/>
      <c r="B24" s="319"/>
      <c r="C24" s="215"/>
      <c r="D24" s="406" t="s">
        <v>94</v>
      </c>
      <c r="E24" s="30" t="s">
        <v>71</v>
      </c>
      <c r="F24" s="4">
        <f>G20+I20+K20+M20+O20+Q20+S20+U20+W20+Y20+AA20+AC20</f>
        <v>7</v>
      </c>
    </row>
    <row r="25" spans="1:29" ht="16.8" thickTop="1" thickBot="1" x14ac:dyDescent="0.35">
      <c r="A25" s="212"/>
      <c r="B25" s="213"/>
      <c r="C25" s="215"/>
      <c r="D25" s="406"/>
      <c r="E25" s="30" t="s">
        <v>140</v>
      </c>
      <c r="F25" s="4">
        <f>G21+I21+K21+M21+O21+Q21+S21+U21+W21+Y21+AA21+AC21</f>
        <v>6</v>
      </c>
    </row>
    <row r="26" spans="1:29" ht="15" customHeight="1" thickTop="1" x14ac:dyDescent="0.3">
      <c r="A26" s="212"/>
      <c r="B26" s="318" t="s">
        <v>269</v>
      </c>
      <c r="C26" s="215"/>
      <c r="D26" s="407"/>
      <c r="E26" s="34" t="s">
        <v>139</v>
      </c>
      <c r="F26" s="14">
        <f>G22+I22+K22+M22+O22+Q22+S22+U22+W22+Y22+AA22+AC22</f>
        <v>5</v>
      </c>
    </row>
    <row r="27" spans="1:29" ht="15" customHeight="1" thickBot="1" x14ac:dyDescent="0.35">
      <c r="A27" s="212"/>
      <c r="B27" s="319"/>
      <c r="C27" s="215"/>
      <c r="F27" s="405"/>
      <c r="G27" s="405"/>
      <c r="H27" s="405"/>
      <c r="I27" s="405"/>
      <c r="J27" s="405"/>
      <c r="K27" s="405"/>
      <c r="L27" s="405"/>
      <c r="M27" s="405"/>
      <c r="N27" s="405"/>
      <c r="O27" s="405"/>
      <c r="P27" s="405"/>
      <c r="Q27" s="405"/>
      <c r="R27" s="405"/>
      <c r="S27" s="405"/>
      <c r="T27" s="405"/>
      <c r="U27" s="405"/>
      <c r="V27" s="405"/>
      <c r="W27" s="405"/>
      <c r="X27" s="405"/>
      <c r="Y27" s="405"/>
      <c r="Z27" s="405"/>
      <c r="AA27" s="405"/>
      <c r="AB27" s="405"/>
      <c r="AC27" s="405"/>
    </row>
    <row r="28" spans="1:29" ht="16.8" hidden="1" customHeight="1" thickTop="1" thickBot="1" x14ac:dyDescent="0.35">
      <c r="A28" s="212"/>
      <c r="B28" s="213"/>
      <c r="C28" s="215"/>
      <c r="F28" s="37" t="s">
        <v>76</v>
      </c>
      <c r="G28" s="38" t="s">
        <v>77</v>
      </c>
      <c r="H28" s="37" t="s">
        <v>76</v>
      </c>
      <c r="I28" s="38" t="s">
        <v>77</v>
      </c>
      <c r="J28" s="37" t="s">
        <v>76</v>
      </c>
      <c r="K28" s="38" t="s">
        <v>77</v>
      </c>
      <c r="L28" s="37" t="s">
        <v>76</v>
      </c>
      <c r="M28" s="38" t="s">
        <v>77</v>
      </c>
      <c r="N28" s="37" t="s">
        <v>76</v>
      </c>
      <c r="O28" s="38" t="s">
        <v>77</v>
      </c>
      <c r="P28" s="37" t="s">
        <v>76</v>
      </c>
      <c r="Q28" s="38" t="s">
        <v>77</v>
      </c>
      <c r="R28" s="37" t="s">
        <v>76</v>
      </c>
      <c r="S28" s="38" t="s">
        <v>77</v>
      </c>
      <c r="T28" s="37" t="s">
        <v>76</v>
      </c>
      <c r="U28" s="38" t="s">
        <v>77</v>
      </c>
      <c r="V28" s="37" t="s">
        <v>76</v>
      </c>
      <c r="W28" s="38" t="s">
        <v>77</v>
      </c>
      <c r="X28" s="37" t="s">
        <v>76</v>
      </c>
      <c r="Y28" s="38" t="s">
        <v>77</v>
      </c>
      <c r="Z28" s="37" t="s">
        <v>76</v>
      </c>
      <c r="AA28" s="38" t="s">
        <v>77</v>
      </c>
      <c r="AB28" s="37" t="s">
        <v>76</v>
      </c>
      <c r="AC28" s="38" t="s">
        <v>77</v>
      </c>
    </row>
    <row r="29" spans="1:29" ht="15" hidden="1" customHeight="1" thickTop="1" x14ac:dyDescent="0.3">
      <c r="A29" s="212"/>
      <c r="B29" s="318" t="s">
        <v>270</v>
      </c>
      <c r="C29" s="215"/>
      <c r="D29" s="380" t="s">
        <v>123</v>
      </c>
      <c r="E29" s="33" t="s">
        <v>11</v>
      </c>
      <c r="F29" s="39" t="str">
        <f>'Food Serves'!K52</f>
        <v>N/A</v>
      </c>
      <c r="G29" s="39">
        <f>'Food Serves'!L52</f>
        <v>0</v>
      </c>
      <c r="H29" s="39" t="str">
        <f>'Food Serves'!M52</f>
        <v>Continental</v>
      </c>
      <c r="I29" s="39">
        <f>'Food Serves'!N52</f>
        <v>0</v>
      </c>
      <c r="J29" s="39" t="str">
        <f>'Food Serves'!O52</f>
        <v>N/A</v>
      </c>
      <c r="K29" s="39">
        <f>'Food Serves'!P52</f>
        <v>0</v>
      </c>
      <c r="L29" s="39" t="str">
        <f>'Food Serves'!Q52</f>
        <v>N/A</v>
      </c>
      <c r="M29" s="39">
        <f>'Food Serves'!R52</f>
        <v>0</v>
      </c>
      <c r="N29" s="39" t="str">
        <f>'Food Serves'!S52</f>
        <v>Continental</v>
      </c>
      <c r="O29" s="39">
        <f>'Food Serves'!T52</f>
        <v>0</v>
      </c>
      <c r="P29" s="39" t="str">
        <f>'Food Serves'!U52</f>
        <v>Bacon, Eggs &amp; Sausages</v>
      </c>
      <c r="Q29" s="39">
        <f>'Food Serves'!V52</f>
        <v>0</v>
      </c>
      <c r="R29" s="39" t="str">
        <f>'Food Serves'!W52</f>
        <v>Bacon, Eggs &amp; Sausages</v>
      </c>
      <c r="S29" s="39">
        <f>'Food Serves'!X52</f>
        <v>0</v>
      </c>
      <c r="T29" s="39" t="str">
        <f>'Food Serves'!Y52</f>
        <v>Continental</v>
      </c>
      <c r="U29" s="39">
        <f>'Food Serves'!Z52</f>
        <v>0</v>
      </c>
      <c r="V29" s="39" t="str">
        <f>'Food Serves'!AA52</f>
        <v>Continental</v>
      </c>
      <c r="W29" s="39">
        <f>'Food Serves'!AB52</f>
        <v>0</v>
      </c>
      <c r="X29" s="39" t="str">
        <f>'Food Serves'!AC52</f>
        <v>Bacon, Eggs &amp; Sausages</v>
      </c>
      <c r="Y29" s="39">
        <f>'Food Serves'!AD52</f>
        <v>0</v>
      </c>
      <c r="Z29" s="39" t="str">
        <f>'Food Serves'!AE52</f>
        <v>Continental</v>
      </c>
      <c r="AA29" s="39">
        <f>'Food Serves'!AF52</f>
        <v>0</v>
      </c>
      <c r="AB29" s="39" t="str">
        <f>'Food Serves'!AG52</f>
        <v>N/A</v>
      </c>
      <c r="AC29" s="39">
        <f>'Food Serves'!AH52</f>
        <v>0</v>
      </c>
    </row>
    <row r="30" spans="1:29" ht="15.6" hidden="1" customHeight="1" thickBot="1" x14ac:dyDescent="0.35">
      <c r="A30" s="212"/>
      <c r="B30" s="319"/>
      <c r="C30" s="215"/>
      <c r="D30" s="381"/>
      <c r="E30" s="30" t="s">
        <v>9</v>
      </c>
      <c r="F30" s="39" t="str">
        <f>'Food Serves'!K53</f>
        <v>N/A</v>
      </c>
      <c r="G30" s="39">
        <f>'Food Serves'!L53</f>
        <v>0</v>
      </c>
      <c r="H30" s="39" t="str">
        <f>'Food Serves'!M53</f>
        <v>N/A</v>
      </c>
      <c r="I30" s="39">
        <f>'Food Serves'!N53</f>
        <v>0</v>
      </c>
      <c r="J30" s="39" t="str">
        <f>'Food Serves'!O53</f>
        <v>N/A</v>
      </c>
      <c r="K30" s="39">
        <f>'Food Serves'!P53</f>
        <v>0</v>
      </c>
      <c r="L30" s="39" t="str">
        <f>'Food Serves'!Q53</f>
        <v>Beef Wraps</v>
      </c>
      <c r="M30" s="39">
        <f>'Food Serves'!R53</f>
        <v>0</v>
      </c>
      <c r="N30" s="39" t="str">
        <f>'Food Serves'!S53</f>
        <v>Chicken Wraps</v>
      </c>
      <c r="O30" s="39">
        <f>'Food Serves'!T53</f>
        <v>0</v>
      </c>
      <c r="P30" s="39" t="str">
        <f>'Food Serves'!U53</f>
        <v>Beef Wraps</v>
      </c>
      <c r="Q30" s="39">
        <f>'Food Serves'!V53</f>
        <v>0</v>
      </c>
      <c r="R30" s="39" t="str">
        <f>'Food Serves'!W53</f>
        <v>Toasted Chicken Paninis</v>
      </c>
      <c r="S30" s="39">
        <f>'Food Serves'!X53</f>
        <v>0</v>
      </c>
      <c r="T30" s="39" t="str">
        <f>'Food Serves'!Y53</f>
        <v>chickpea curry</v>
      </c>
      <c r="U30" s="39">
        <f>'Food Serves'!Z53</f>
        <v>0</v>
      </c>
      <c r="V30" s="39" t="str">
        <f>'Food Serves'!AA53</f>
        <v>Potato Salad with Chirizo</v>
      </c>
      <c r="W30" s="39">
        <f>'Food Serves'!AB53</f>
        <v>0</v>
      </c>
      <c r="X30" s="39" t="str">
        <f>'Food Serves'!AC53</f>
        <v>N/A</v>
      </c>
      <c r="Y30" s="39">
        <f>'Food Serves'!AD53</f>
        <v>0</v>
      </c>
      <c r="Z30" s="39" t="str">
        <f>'Food Serves'!AE53</f>
        <v>N/A</v>
      </c>
      <c r="AA30" s="39">
        <f>'Food Serves'!AF53</f>
        <v>0</v>
      </c>
      <c r="AB30" s="39" t="str">
        <f>'Food Serves'!AG53</f>
        <v>N/A</v>
      </c>
      <c r="AC30" s="39">
        <f>'Food Serves'!AH53</f>
        <v>0</v>
      </c>
    </row>
    <row r="31" spans="1:29" ht="16.8" hidden="1" customHeight="1" thickTop="1" thickBot="1" x14ac:dyDescent="0.35">
      <c r="A31" s="212"/>
      <c r="B31" s="213"/>
      <c r="C31" s="215"/>
      <c r="D31" s="382"/>
      <c r="E31" s="34" t="s">
        <v>1</v>
      </c>
      <c r="F31" s="39" t="str">
        <f>'Food Serves'!K54</f>
        <v>N/A</v>
      </c>
      <c r="G31" s="39">
        <f>'Food Serves'!L54</f>
        <v>0</v>
      </c>
      <c r="H31" s="39" t="str">
        <f>'Food Serves'!M54</f>
        <v>N/A</v>
      </c>
      <c r="I31" s="39">
        <f>'Food Serves'!N54</f>
        <v>0</v>
      </c>
      <c r="J31" s="39" t="str">
        <f>'Food Serves'!O54</f>
        <v>N/A</v>
      </c>
      <c r="K31" s="39">
        <f>'Food Serves'!P54</f>
        <v>0</v>
      </c>
      <c r="L31" s="39" t="str">
        <f>'Food Serves'!Q54</f>
        <v>N/A</v>
      </c>
      <c r="M31" s="39">
        <f>'Food Serves'!R54</f>
        <v>0</v>
      </c>
      <c r="N31" s="39" t="str">
        <f>'Food Serves'!S54</f>
        <v>Chicken Fried Rice</v>
      </c>
      <c r="O31" s="39">
        <f>'Food Serves'!T54</f>
        <v>0</v>
      </c>
      <c r="P31" s="39" t="str">
        <f>'Food Serves'!U54</f>
        <v>Beef &amp; soba noodles</v>
      </c>
      <c r="Q31" s="39">
        <f>'Food Serves'!V54</f>
        <v>0</v>
      </c>
      <c r="R31" s="39" t="str">
        <f>'Food Serves'!W54</f>
        <v>Pulled Pork Nachos</v>
      </c>
      <c r="S31" s="39">
        <f>'Food Serves'!X54</f>
        <v>0</v>
      </c>
      <c r="T31" s="39" t="str">
        <f>'Food Serves'!Y54</f>
        <v>Spaghetti Bolognese</v>
      </c>
      <c r="U31" s="39">
        <f>'Food Serves'!Z54</f>
        <v>0</v>
      </c>
      <c r="V31" s="39" t="str">
        <f>'Food Serves'!AA54</f>
        <v>N/A</v>
      </c>
      <c r="W31" s="39">
        <f>'Food Serves'!AB54</f>
        <v>0</v>
      </c>
      <c r="X31" s="39" t="str">
        <f>'Food Serves'!AC54</f>
        <v>Steak &amp; mash</v>
      </c>
      <c r="Y31" s="39">
        <f>'Food Serves'!AD54</f>
        <v>0</v>
      </c>
      <c r="Z31" s="39" t="str">
        <f>'Food Serves'!AE54</f>
        <v>N/A</v>
      </c>
      <c r="AA31" s="39">
        <f>'Food Serves'!AF54</f>
        <v>0</v>
      </c>
      <c r="AB31" s="39" t="str">
        <f>'Food Serves'!AG54</f>
        <v>N/A</v>
      </c>
      <c r="AC31" s="39">
        <f>'Food Serves'!AH54</f>
        <v>0</v>
      </c>
    </row>
    <row r="32" spans="1:29" ht="15" hidden="1" customHeight="1" thickTop="1" x14ac:dyDescent="0.3">
      <c r="A32" s="212"/>
      <c r="B32" s="318" t="s">
        <v>271</v>
      </c>
      <c r="C32" s="215"/>
    </row>
    <row r="33" spans="1:29" ht="15" hidden="1" customHeight="1" thickBot="1" x14ac:dyDescent="0.35">
      <c r="A33" s="212"/>
      <c r="B33" s="319"/>
      <c r="C33" s="215"/>
      <c r="D33" s="406" t="s">
        <v>104</v>
      </c>
      <c r="E33" s="30" t="s">
        <v>71</v>
      </c>
      <c r="F33" s="4">
        <f>G29+I29+K29+M29+O29+Q29+S29+U29+W29+Y29+AA29+AC29</f>
        <v>0</v>
      </c>
    </row>
    <row r="34" spans="1:29" ht="16.8" hidden="1" customHeight="1" thickTop="1" thickBot="1" x14ac:dyDescent="0.35">
      <c r="A34" s="212"/>
      <c r="B34" s="213"/>
      <c r="C34" s="215"/>
      <c r="D34" s="406"/>
      <c r="E34" s="30" t="s">
        <v>140</v>
      </c>
      <c r="F34" s="4">
        <f>G30+I30+K30+M30+O30+Q30+S30+U30+W30+Y30+AA30+AC30</f>
        <v>0</v>
      </c>
    </row>
    <row r="35" spans="1:29" ht="15" hidden="1" customHeight="1" thickTop="1" x14ac:dyDescent="0.3">
      <c r="A35" s="212"/>
      <c r="B35" s="318" t="s">
        <v>272</v>
      </c>
      <c r="C35" s="215"/>
      <c r="D35" s="407"/>
      <c r="E35" s="34" t="s">
        <v>139</v>
      </c>
      <c r="F35" s="14">
        <f>G31+I31+K31+M31+O31+Q31+S31+U31+W31+Y31+AA31+AC31</f>
        <v>0</v>
      </c>
    </row>
    <row r="36" spans="1:29" ht="15" hidden="1" customHeight="1" thickBot="1" x14ac:dyDescent="0.35">
      <c r="A36" s="212"/>
      <c r="B36" s="319"/>
      <c r="C36" s="215"/>
      <c r="D36" s="63"/>
      <c r="E36" s="30"/>
      <c r="F36" s="405" t="s">
        <v>29</v>
      </c>
      <c r="G36" s="405"/>
      <c r="H36" s="405" t="s">
        <v>0</v>
      </c>
      <c r="I36" s="405"/>
      <c r="J36" s="405" t="s">
        <v>2</v>
      </c>
      <c r="K36" s="405"/>
      <c r="L36" s="405" t="s">
        <v>3</v>
      </c>
      <c r="M36" s="405"/>
      <c r="N36" s="405" t="s">
        <v>4</v>
      </c>
      <c r="O36" s="405"/>
      <c r="P36" s="405" t="s">
        <v>5</v>
      </c>
      <c r="Q36" s="405"/>
      <c r="R36" s="405" t="s">
        <v>6</v>
      </c>
      <c r="S36" s="405"/>
      <c r="T36" s="405" t="s">
        <v>7</v>
      </c>
      <c r="U36" s="405"/>
      <c r="V36" s="405" t="s">
        <v>8</v>
      </c>
      <c r="W36" s="405"/>
      <c r="X36" s="405" t="s">
        <v>15</v>
      </c>
      <c r="Y36" s="405"/>
      <c r="Z36" s="405" t="s">
        <v>16</v>
      </c>
      <c r="AA36" s="405"/>
      <c r="AB36" s="405" t="s">
        <v>30</v>
      </c>
      <c r="AC36" s="405"/>
    </row>
    <row r="37" spans="1:29" ht="16.8" hidden="1" customHeight="1" thickTop="1" thickBot="1" x14ac:dyDescent="0.35">
      <c r="A37" s="212"/>
      <c r="B37" s="213"/>
      <c r="C37" s="215"/>
      <c r="F37" s="37" t="s">
        <v>76</v>
      </c>
      <c r="G37" s="38" t="s">
        <v>77</v>
      </c>
      <c r="H37" s="37" t="s">
        <v>76</v>
      </c>
      <c r="I37" s="38" t="s">
        <v>77</v>
      </c>
      <c r="J37" s="37" t="s">
        <v>76</v>
      </c>
      <c r="K37" s="38" t="s">
        <v>77</v>
      </c>
      <c r="L37" s="37" t="s">
        <v>76</v>
      </c>
      <c r="M37" s="38" t="s">
        <v>77</v>
      </c>
      <c r="N37" s="37" t="s">
        <v>76</v>
      </c>
      <c r="O37" s="38" t="s">
        <v>77</v>
      </c>
      <c r="P37" s="37" t="s">
        <v>76</v>
      </c>
      <c r="Q37" s="38" t="s">
        <v>77</v>
      </c>
      <c r="R37" s="37" t="s">
        <v>76</v>
      </c>
      <c r="S37" s="38" t="s">
        <v>77</v>
      </c>
      <c r="T37" s="37" t="s">
        <v>76</v>
      </c>
      <c r="U37" s="38" t="s">
        <v>77</v>
      </c>
      <c r="V37" s="37" t="s">
        <v>76</v>
      </c>
      <c r="W37" s="38" t="s">
        <v>77</v>
      </c>
      <c r="X37" s="37" t="s">
        <v>76</v>
      </c>
      <c r="Y37" s="38" t="s">
        <v>77</v>
      </c>
      <c r="Z37" s="37" t="s">
        <v>76</v>
      </c>
      <c r="AA37" s="38" t="s">
        <v>77</v>
      </c>
      <c r="AB37" s="37" t="s">
        <v>76</v>
      </c>
      <c r="AC37" s="38" t="s">
        <v>77</v>
      </c>
    </row>
    <row r="38" spans="1:29" ht="15" hidden="1" customHeight="1" thickTop="1" x14ac:dyDescent="0.3">
      <c r="A38" s="212"/>
      <c r="B38" s="318" t="s">
        <v>273</v>
      </c>
      <c r="C38" s="215"/>
      <c r="D38" s="377" t="s">
        <v>126</v>
      </c>
      <c r="E38" s="33" t="s">
        <v>11</v>
      </c>
      <c r="F38" s="39" t="str">
        <f>'Food Serves'!K66</f>
        <v>N/A</v>
      </c>
      <c r="G38" s="39">
        <f>'Food Serves'!L66</f>
        <v>0</v>
      </c>
      <c r="H38" s="39" t="str">
        <f>'Food Serves'!M66</f>
        <v>Continental</v>
      </c>
      <c r="I38" s="39">
        <f>'Food Serves'!N66</f>
        <v>0</v>
      </c>
      <c r="J38" s="39" t="str">
        <f>'Food Serves'!O66</f>
        <v>N/A</v>
      </c>
      <c r="K38" s="39">
        <f>'Food Serves'!P66</f>
        <v>0</v>
      </c>
      <c r="L38" s="39" t="str">
        <f>'Food Serves'!Q66</f>
        <v>N/A</v>
      </c>
      <c r="M38" s="39">
        <f>'Food Serves'!R66</f>
        <v>0</v>
      </c>
      <c r="N38" s="39" t="str">
        <f>'Food Serves'!S66</f>
        <v>Continental</v>
      </c>
      <c r="O38" s="39">
        <f>'Food Serves'!T66</f>
        <v>0</v>
      </c>
      <c r="P38" s="39" t="str">
        <f>'Food Serves'!U66</f>
        <v>Bacon, Eggs &amp; Sausages</v>
      </c>
      <c r="Q38" s="39">
        <f>'Food Serves'!V66</f>
        <v>0</v>
      </c>
      <c r="R38" s="39" t="str">
        <f>'Food Serves'!W66</f>
        <v>Bacon, Eggs &amp; Sausages</v>
      </c>
      <c r="S38" s="39">
        <f>'Food Serves'!X66</f>
        <v>0</v>
      </c>
      <c r="T38" s="39" t="str">
        <f>'Food Serves'!Y66</f>
        <v>Continental</v>
      </c>
      <c r="U38" s="39">
        <f>'Food Serves'!Z66</f>
        <v>0</v>
      </c>
      <c r="V38" s="39" t="str">
        <f>'Food Serves'!AA66</f>
        <v>Continental</v>
      </c>
      <c r="W38" s="39">
        <f>'Food Serves'!AB66</f>
        <v>0</v>
      </c>
      <c r="X38" s="39" t="str">
        <f>'Food Serves'!AC66</f>
        <v>Bacon, Eggs &amp; Sausages</v>
      </c>
      <c r="Y38" s="39">
        <f>'Food Serves'!AD66</f>
        <v>0</v>
      </c>
      <c r="Z38" s="39" t="str">
        <f>'Food Serves'!AE66</f>
        <v>Continental</v>
      </c>
      <c r="AA38" s="39">
        <f>'Food Serves'!AF66</f>
        <v>0</v>
      </c>
      <c r="AB38" s="39" t="str">
        <f>'Food Serves'!AG66</f>
        <v>N/A</v>
      </c>
      <c r="AC38" s="39">
        <f>'Food Serves'!AH66</f>
        <v>0</v>
      </c>
    </row>
    <row r="39" spans="1:29" ht="15" hidden="1" customHeight="1" thickBot="1" x14ac:dyDescent="0.35">
      <c r="A39" s="212"/>
      <c r="B39" s="319"/>
      <c r="C39" s="215"/>
      <c r="D39" s="378"/>
      <c r="E39" s="30" t="s">
        <v>9</v>
      </c>
      <c r="F39" s="39" t="str">
        <f>'Food Serves'!K67</f>
        <v>N/A</v>
      </c>
      <c r="G39" s="39">
        <f>'Food Serves'!L67</f>
        <v>0</v>
      </c>
      <c r="H39" s="39" t="str">
        <f>'Food Serves'!M67</f>
        <v>N/A</v>
      </c>
      <c r="I39" s="39">
        <f>'Food Serves'!N67</f>
        <v>0</v>
      </c>
      <c r="J39" s="39" t="str">
        <f>'Food Serves'!O67</f>
        <v>N/A</v>
      </c>
      <c r="K39" s="39">
        <f>'Food Serves'!P67</f>
        <v>0</v>
      </c>
      <c r="L39" s="39" t="str">
        <f>'Food Serves'!Q67</f>
        <v>Beef Wraps</v>
      </c>
      <c r="M39" s="39">
        <f>'Food Serves'!R67</f>
        <v>0</v>
      </c>
      <c r="N39" s="39" t="str">
        <f>'Food Serves'!S67</f>
        <v>Chicken Wraps</v>
      </c>
      <c r="O39" s="39">
        <f>'Food Serves'!T67</f>
        <v>0</v>
      </c>
      <c r="P39" s="39" t="str">
        <f>'Food Serves'!U67</f>
        <v>Beef Wraps</v>
      </c>
      <c r="Q39" s="39">
        <f>'Food Serves'!V67</f>
        <v>0</v>
      </c>
      <c r="R39" s="39" t="str">
        <f>'Food Serves'!W67</f>
        <v>Toasted Chicken Paninis</v>
      </c>
      <c r="S39" s="39">
        <f>'Food Serves'!X67</f>
        <v>0</v>
      </c>
      <c r="T39" s="39" t="str">
        <f>'Food Serves'!Y67</f>
        <v>chickpea curry</v>
      </c>
      <c r="U39" s="39">
        <f>'Food Serves'!Z67</f>
        <v>0</v>
      </c>
      <c r="V39" s="39" t="str">
        <f>'Food Serves'!AA67</f>
        <v>Potato Salad with Chirizo</v>
      </c>
      <c r="W39" s="39">
        <f>'Food Serves'!AB67</f>
        <v>0</v>
      </c>
      <c r="X39" s="39" t="str">
        <f>'Food Serves'!AC67</f>
        <v>N/A</v>
      </c>
      <c r="Y39" s="39">
        <f>'Food Serves'!AD67</f>
        <v>0</v>
      </c>
      <c r="Z39" s="39" t="str">
        <f>'Food Serves'!AE67</f>
        <v>N/A</v>
      </c>
      <c r="AA39" s="39">
        <f>'Food Serves'!AF67</f>
        <v>0</v>
      </c>
      <c r="AB39" s="39" t="str">
        <f>'Food Serves'!AG67</f>
        <v>N/A</v>
      </c>
      <c r="AC39" s="39">
        <f>'Food Serves'!AH67</f>
        <v>0</v>
      </c>
    </row>
    <row r="40" spans="1:29" ht="16.8" hidden="1" customHeight="1" thickTop="1" thickBot="1" x14ac:dyDescent="0.35">
      <c r="A40" s="212"/>
      <c r="B40" s="213"/>
      <c r="C40" s="215"/>
      <c r="D40" s="379"/>
      <c r="E40" s="34" t="s">
        <v>1</v>
      </c>
      <c r="F40" s="39" t="str">
        <f>'Food Serves'!K68</f>
        <v>N/A</v>
      </c>
      <c r="G40" s="39">
        <f>'Food Serves'!L68</f>
        <v>0</v>
      </c>
      <c r="H40" s="39" t="str">
        <f>'Food Serves'!M68</f>
        <v>N/A</v>
      </c>
      <c r="I40" s="39">
        <f>'Food Serves'!N68</f>
        <v>0</v>
      </c>
      <c r="J40" s="39" t="str">
        <f>'Food Serves'!O68</f>
        <v>N/A</v>
      </c>
      <c r="K40" s="39">
        <f>'Food Serves'!P68</f>
        <v>0</v>
      </c>
      <c r="L40" s="39" t="str">
        <f>'Food Serves'!Q68</f>
        <v>N/A</v>
      </c>
      <c r="M40" s="39">
        <f>'Food Serves'!R68</f>
        <v>0</v>
      </c>
      <c r="N40" s="39" t="str">
        <f>'Food Serves'!S68</f>
        <v>Chicken Fried Rice</v>
      </c>
      <c r="O40" s="39">
        <f>'Food Serves'!T68</f>
        <v>0</v>
      </c>
      <c r="P40" s="39" t="str">
        <f>'Food Serves'!U68</f>
        <v>Beef &amp; soba noodles</v>
      </c>
      <c r="Q40" s="39">
        <f>'Food Serves'!V68</f>
        <v>0</v>
      </c>
      <c r="R40" s="39" t="str">
        <f>'Food Serves'!W68</f>
        <v>Pulled Pork Nachos</v>
      </c>
      <c r="S40" s="39">
        <f>'Food Serves'!X68</f>
        <v>0</v>
      </c>
      <c r="T40" s="39" t="str">
        <f>'Food Serves'!Y68</f>
        <v>Spaghetti Bolognese</v>
      </c>
      <c r="U40" s="39">
        <f>'Food Serves'!Z68</f>
        <v>0</v>
      </c>
      <c r="V40" s="39" t="str">
        <f>'Food Serves'!AA68</f>
        <v>N/A</v>
      </c>
      <c r="W40" s="39">
        <f>'Food Serves'!AB68</f>
        <v>0</v>
      </c>
      <c r="X40" s="39" t="str">
        <f>'Food Serves'!AC68</f>
        <v>Steak &amp; mash</v>
      </c>
      <c r="Y40" s="39">
        <f>'Food Serves'!AD68</f>
        <v>0</v>
      </c>
      <c r="Z40" s="39" t="str">
        <f>'Food Serves'!AE68</f>
        <v>N/A</v>
      </c>
      <c r="AA40" s="39">
        <f>'Food Serves'!AF68</f>
        <v>0</v>
      </c>
      <c r="AB40" s="39" t="str">
        <f>'Food Serves'!AG68</f>
        <v>N/A</v>
      </c>
      <c r="AC40" s="39">
        <f>'Food Serves'!AH68</f>
        <v>0</v>
      </c>
    </row>
    <row r="41" spans="1:29" ht="15" hidden="1" customHeight="1" thickTop="1" x14ac:dyDescent="0.3">
      <c r="A41" s="212"/>
      <c r="B41" s="318" t="s">
        <v>274</v>
      </c>
      <c r="C41" s="215"/>
      <c r="D41" s="51"/>
      <c r="E41" s="30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</row>
    <row r="42" spans="1:29" ht="15" hidden="1" customHeight="1" thickBot="1" x14ac:dyDescent="0.35">
      <c r="A42" s="212"/>
      <c r="B42" s="319"/>
      <c r="C42" s="215"/>
      <c r="D42" s="406" t="s">
        <v>95</v>
      </c>
      <c r="E42" s="30" t="s">
        <v>71</v>
      </c>
      <c r="F42" s="4">
        <f>G38+I38+K38+M38+O38+Q38+S38+U38+W38+Y38+AA38+AC38</f>
        <v>0</v>
      </c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</row>
    <row r="43" spans="1:29" ht="16.8" hidden="1" customHeight="1" thickTop="1" thickBot="1" x14ac:dyDescent="0.35">
      <c r="A43" s="212"/>
      <c r="B43" s="213"/>
      <c r="C43" s="215"/>
      <c r="D43" s="406"/>
      <c r="E43" s="30" t="s">
        <v>140</v>
      </c>
      <c r="F43" s="4">
        <f>G39+I39+K39+M39+O39+Q39+S39+U39+W39+Y39+AA39+AC39</f>
        <v>0</v>
      </c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</row>
    <row r="44" spans="1:29" ht="15" hidden="1" customHeight="1" thickTop="1" x14ac:dyDescent="0.3">
      <c r="A44" s="212"/>
      <c r="B44" s="318" t="s">
        <v>275</v>
      </c>
      <c r="C44" s="215"/>
      <c r="D44" s="407"/>
      <c r="E44" s="34" t="s">
        <v>139</v>
      </c>
      <c r="F44" s="14">
        <f>G40+I40+K40+M40+O40+Q40+S40+U40+W40+Y40+AA40+AC40</f>
        <v>0</v>
      </c>
    </row>
    <row r="45" spans="1:29" ht="15" hidden="1" customHeight="1" thickBot="1" x14ac:dyDescent="0.35">
      <c r="A45" s="212"/>
      <c r="B45" s="319"/>
      <c r="C45" s="215"/>
      <c r="D45" s="50"/>
      <c r="E45" s="30"/>
      <c r="F45" s="405" t="s">
        <v>29</v>
      </c>
      <c r="G45" s="405"/>
      <c r="H45" s="405" t="s">
        <v>0</v>
      </c>
      <c r="I45" s="405"/>
      <c r="J45" s="405" t="s">
        <v>2</v>
      </c>
      <c r="K45" s="405"/>
      <c r="L45" s="405" t="s">
        <v>3</v>
      </c>
      <c r="M45" s="405"/>
      <c r="N45" s="405" t="s">
        <v>4</v>
      </c>
      <c r="O45" s="405"/>
      <c r="P45" s="405" t="s">
        <v>5</v>
      </c>
      <c r="Q45" s="405"/>
      <c r="R45" s="405" t="s">
        <v>6</v>
      </c>
      <c r="S45" s="405"/>
      <c r="T45" s="405" t="s">
        <v>7</v>
      </c>
      <c r="U45" s="405"/>
      <c r="V45" s="405" t="s">
        <v>8</v>
      </c>
      <c r="W45" s="405"/>
      <c r="X45" s="405" t="s">
        <v>15</v>
      </c>
      <c r="Y45" s="405"/>
      <c r="Z45" s="405" t="s">
        <v>16</v>
      </c>
      <c r="AA45" s="405"/>
      <c r="AB45" s="405" t="s">
        <v>30</v>
      </c>
      <c r="AC45" s="405"/>
    </row>
    <row r="46" spans="1:29" ht="16.8" hidden="1" customHeight="1" thickTop="1" thickBot="1" x14ac:dyDescent="0.35">
      <c r="A46" s="212"/>
      <c r="B46" s="213"/>
      <c r="C46" s="215"/>
      <c r="F46" s="37" t="s">
        <v>76</v>
      </c>
      <c r="G46" s="38" t="s">
        <v>77</v>
      </c>
      <c r="H46" s="37" t="s">
        <v>76</v>
      </c>
      <c r="I46" s="38" t="s">
        <v>77</v>
      </c>
      <c r="J46" s="37" t="s">
        <v>76</v>
      </c>
      <c r="K46" s="38" t="s">
        <v>77</v>
      </c>
      <c r="L46" s="37" t="s">
        <v>76</v>
      </c>
      <c r="M46" s="38" t="s">
        <v>77</v>
      </c>
      <c r="N46" s="37" t="s">
        <v>76</v>
      </c>
      <c r="O46" s="38" t="s">
        <v>77</v>
      </c>
      <c r="P46" s="37" t="s">
        <v>76</v>
      </c>
      <c r="Q46" s="38" t="s">
        <v>77</v>
      </c>
      <c r="R46" s="37" t="s">
        <v>76</v>
      </c>
      <c r="S46" s="38" t="s">
        <v>77</v>
      </c>
      <c r="T46" s="37" t="s">
        <v>76</v>
      </c>
      <c r="U46" s="38" t="s">
        <v>77</v>
      </c>
      <c r="V46" s="37" t="s">
        <v>76</v>
      </c>
      <c r="W46" s="38" t="s">
        <v>77</v>
      </c>
      <c r="X46" s="37" t="s">
        <v>76</v>
      </c>
      <c r="Y46" s="38" t="s">
        <v>77</v>
      </c>
      <c r="Z46" s="37" t="s">
        <v>76</v>
      </c>
      <c r="AA46" s="38" t="s">
        <v>77</v>
      </c>
      <c r="AB46" s="37" t="s">
        <v>76</v>
      </c>
      <c r="AC46" s="38" t="s">
        <v>77</v>
      </c>
    </row>
    <row r="47" spans="1:29" ht="15" hidden="1" customHeight="1" thickTop="1" x14ac:dyDescent="0.3">
      <c r="A47" s="212"/>
      <c r="B47" s="318" t="s">
        <v>276</v>
      </c>
      <c r="C47" s="215"/>
      <c r="D47" s="374" t="s">
        <v>128</v>
      </c>
      <c r="E47" s="33" t="s">
        <v>11</v>
      </c>
      <c r="F47" s="39" t="str">
        <f>'Food Serves'!K80</f>
        <v>N/A</v>
      </c>
      <c r="G47" s="39">
        <f>'Food Serves'!L80</f>
        <v>0</v>
      </c>
      <c r="H47" s="39" t="str">
        <f>'Food Serves'!M80</f>
        <v>Continental</v>
      </c>
      <c r="I47" s="39">
        <f>'Food Serves'!N80</f>
        <v>0</v>
      </c>
      <c r="J47" s="39" t="str">
        <f>'Food Serves'!O80</f>
        <v>N/A</v>
      </c>
      <c r="K47" s="39">
        <f>'Food Serves'!P80</f>
        <v>0</v>
      </c>
      <c r="L47" s="39" t="str">
        <f>'Food Serves'!Q80</f>
        <v>N/A</v>
      </c>
      <c r="M47" s="39">
        <f>'Food Serves'!R80</f>
        <v>0</v>
      </c>
      <c r="N47" s="39" t="str">
        <f>'Food Serves'!S80</f>
        <v>Continental</v>
      </c>
      <c r="O47" s="39">
        <f>'Food Serves'!T80</f>
        <v>0</v>
      </c>
      <c r="P47" s="39" t="str">
        <f>'Food Serves'!U80</f>
        <v>Bacon, Eggs &amp; Sausages</v>
      </c>
      <c r="Q47" s="39">
        <f>'Food Serves'!V80</f>
        <v>0</v>
      </c>
      <c r="R47" s="39" t="str">
        <f>'Food Serves'!W80</f>
        <v>Bacon, Eggs &amp; Sausages</v>
      </c>
      <c r="S47" s="39">
        <f>'Food Serves'!X80</f>
        <v>0</v>
      </c>
      <c r="T47" s="39" t="str">
        <f>'Food Serves'!Y80</f>
        <v>Continental</v>
      </c>
      <c r="U47" s="39">
        <f>'Food Serves'!Z80</f>
        <v>0</v>
      </c>
      <c r="V47" s="39" t="str">
        <f>'Food Serves'!AA80</f>
        <v>Continental</v>
      </c>
      <c r="W47" s="39">
        <f>'Food Serves'!AB80</f>
        <v>0</v>
      </c>
      <c r="X47" s="39" t="str">
        <f>'Food Serves'!AC80</f>
        <v>Bacon, Eggs &amp; Sausages</v>
      </c>
      <c r="Y47" s="39">
        <f>'Food Serves'!AD80</f>
        <v>0</v>
      </c>
      <c r="Z47" s="39" t="str">
        <f>'Food Serves'!AE80</f>
        <v>Continental</v>
      </c>
      <c r="AA47" s="39">
        <f>'Food Serves'!AF80</f>
        <v>0</v>
      </c>
      <c r="AB47" s="39" t="str">
        <f>'Food Serves'!AG80</f>
        <v>N/A</v>
      </c>
      <c r="AC47" s="39">
        <f>'Food Serves'!AH80</f>
        <v>0</v>
      </c>
    </row>
    <row r="48" spans="1:29" ht="15" hidden="1" customHeight="1" thickBot="1" x14ac:dyDescent="0.35">
      <c r="A48" s="212"/>
      <c r="B48" s="319"/>
      <c r="C48" s="215"/>
      <c r="D48" s="375"/>
      <c r="E48" s="30" t="s">
        <v>9</v>
      </c>
      <c r="F48" s="39" t="str">
        <f>'Food Serves'!K81</f>
        <v>N/A</v>
      </c>
      <c r="G48" s="39">
        <f>'Food Serves'!L81</f>
        <v>0</v>
      </c>
      <c r="H48" s="39" t="str">
        <f>'Food Serves'!M81</f>
        <v>N/A</v>
      </c>
      <c r="I48" s="39">
        <f>'Food Serves'!N81</f>
        <v>0</v>
      </c>
      <c r="J48" s="39" t="str">
        <f>'Food Serves'!O81</f>
        <v>N/A</v>
      </c>
      <c r="K48" s="39">
        <f>'Food Serves'!P81</f>
        <v>0</v>
      </c>
      <c r="L48" s="39" t="str">
        <f>'Food Serves'!Q81</f>
        <v>Beef Wraps</v>
      </c>
      <c r="M48" s="39">
        <f>'Food Serves'!R81</f>
        <v>0</v>
      </c>
      <c r="N48" s="39" t="str">
        <f>'Food Serves'!S81</f>
        <v>Chicken Wraps</v>
      </c>
      <c r="O48" s="39">
        <f>'Food Serves'!T81</f>
        <v>0</v>
      </c>
      <c r="P48" s="39" t="str">
        <f>'Food Serves'!U81</f>
        <v>Beef Wraps</v>
      </c>
      <c r="Q48" s="39">
        <f>'Food Serves'!V81</f>
        <v>0</v>
      </c>
      <c r="R48" s="39" t="str">
        <f>'Food Serves'!W81</f>
        <v>Toasted Chicken Paninis</v>
      </c>
      <c r="S48" s="39">
        <f>'Food Serves'!X81</f>
        <v>0</v>
      </c>
      <c r="T48" s="39" t="str">
        <f>'Food Serves'!Y81</f>
        <v>chickpea curry</v>
      </c>
      <c r="U48" s="39">
        <f>'Food Serves'!Z81</f>
        <v>0</v>
      </c>
      <c r="V48" s="39" t="str">
        <f>'Food Serves'!AA81</f>
        <v>Potato Salad with Chirizo</v>
      </c>
      <c r="W48" s="39">
        <f>'Food Serves'!AB81</f>
        <v>0</v>
      </c>
      <c r="X48" s="39" t="str">
        <f>'Food Serves'!AC81</f>
        <v>N/A</v>
      </c>
      <c r="Y48" s="39">
        <f>'Food Serves'!AD81</f>
        <v>0</v>
      </c>
      <c r="Z48" s="39" t="str">
        <f>'Food Serves'!AE81</f>
        <v>N/A</v>
      </c>
      <c r="AA48" s="39">
        <f>'Food Serves'!AF81</f>
        <v>0</v>
      </c>
      <c r="AB48" s="39" t="str">
        <f>'Food Serves'!AG81</f>
        <v>N/A</v>
      </c>
      <c r="AC48" s="39">
        <f>'Food Serves'!AH81</f>
        <v>0</v>
      </c>
    </row>
    <row r="49" spans="1:29" ht="16.8" hidden="1" customHeight="1" thickTop="1" thickBot="1" x14ac:dyDescent="0.35">
      <c r="A49" s="212"/>
      <c r="B49" s="213"/>
      <c r="C49" s="215"/>
      <c r="D49" s="376"/>
      <c r="E49" s="34" t="s">
        <v>1</v>
      </c>
      <c r="F49" s="39" t="str">
        <f>'Food Serves'!K82</f>
        <v>N/A</v>
      </c>
      <c r="G49" s="39">
        <f>'Food Serves'!L82</f>
        <v>0</v>
      </c>
      <c r="H49" s="39" t="str">
        <f>'Food Serves'!M82</f>
        <v>N/A</v>
      </c>
      <c r="I49" s="39">
        <f>'Food Serves'!N82</f>
        <v>0</v>
      </c>
      <c r="J49" s="39" t="str">
        <f>'Food Serves'!O82</f>
        <v>N/A</v>
      </c>
      <c r="K49" s="39">
        <f>'Food Serves'!P82</f>
        <v>0</v>
      </c>
      <c r="L49" s="39" t="str">
        <f>'Food Serves'!Q82</f>
        <v>N/A</v>
      </c>
      <c r="M49" s="39">
        <f>'Food Serves'!R82</f>
        <v>0</v>
      </c>
      <c r="N49" s="39" t="str">
        <f>'Food Serves'!S82</f>
        <v>Chicken Fried Rice</v>
      </c>
      <c r="O49" s="39">
        <f>'Food Serves'!T82</f>
        <v>0</v>
      </c>
      <c r="P49" s="39" t="str">
        <f>'Food Serves'!U82</f>
        <v>Beef &amp; soba noodles</v>
      </c>
      <c r="Q49" s="39">
        <f>'Food Serves'!V82</f>
        <v>0</v>
      </c>
      <c r="R49" s="39" t="str">
        <f>'Food Serves'!W82</f>
        <v>Pulled Pork Nachos</v>
      </c>
      <c r="S49" s="39">
        <f>'Food Serves'!X82</f>
        <v>0</v>
      </c>
      <c r="T49" s="39" t="str">
        <f>'Food Serves'!Y82</f>
        <v>Spaghetti Bolognese</v>
      </c>
      <c r="U49" s="39">
        <f>'Food Serves'!Z82</f>
        <v>0</v>
      </c>
      <c r="V49" s="39" t="str">
        <f>'Food Serves'!AA82</f>
        <v>N/A</v>
      </c>
      <c r="W49" s="39">
        <f>'Food Serves'!AB82</f>
        <v>0</v>
      </c>
      <c r="X49" s="39" t="str">
        <f>'Food Serves'!AC82</f>
        <v>Steak &amp; mash</v>
      </c>
      <c r="Y49" s="39">
        <f>'Food Serves'!AD82</f>
        <v>0</v>
      </c>
      <c r="Z49" s="39" t="str">
        <f>'Food Serves'!AE82</f>
        <v>N/A</v>
      </c>
      <c r="AA49" s="39">
        <f>'Food Serves'!AF82</f>
        <v>0</v>
      </c>
      <c r="AB49" s="39" t="str">
        <f>'Food Serves'!AG82</f>
        <v>N/A</v>
      </c>
      <c r="AC49" s="39">
        <f>'Food Serves'!AH82</f>
        <v>0</v>
      </c>
    </row>
    <row r="50" spans="1:29" ht="15" hidden="1" customHeight="1" thickTop="1" x14ac:dyDescent="0.3">
      <c r="A50" s="212"/>
      <c r="B50" s="318" t="s">
        <v>277</v>
      </c>
      <c r="C50" s="215"/>
      <c r="D50" s="52"/>
      <c r="E50" s="30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</row>
    <row r="51" spans="1:29" ht="15" hidden="1" customHeight="1" thickBot="1" x14ac:dyDescent="0.35">
      <c r="A51" s="212"/>
      <c r="B51" s="319"/>
      <c r="C51" s="215"/>
      <c r="D51" s="406" t="s">
        <v>142</v>
      </c>
      <c r="E51" s="30" t="s">
        <v>71</v>
      </c>
      <c r="F51" s="4">
        <f>G47+I47+K47+M47+O47+Q47+S47+U47+W47+Y47+AA47+AC47</f>
        <v>0</v>
      </c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</row>
    <row r="52" spans="1:29" ht="16.8" hidden="1" customHeight="1" thickTop="1" thickBot="1" x14ac:dyDescent="0.35">
      <c r="A52" s="212"/>
      <c r="B52" s="213"/>
      <c r="C52" s="215"/>
      <c r="D52" s="406"/>
      <c r="E52" s="30" t="s">
        <v>140</v>
      </c>
      <c r="F52" s="4">
        <f>G48+I48+K48+M48+O48+Q48+S48+U48+W48+Y48+AA48+AC48</f>
        <v>0</v>
      </c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</row>
    <row r="53" spans="1:29" ht="15" hidden="1" customHeight="1" thickTop="1" x14ac:dyDescent="0.3">
      <c r="A53" s="212"/>
      <c r="B53" s="213"/>
      <c r="C53" s="215"/>
      <c r="D53" s="407"/>
      <c r="E53" s="34" t="s">
        <v>139</v>
      </c>
      <c r="F53" s="14">
        <f>G49+I49+K49+M49+O49+Q49+S49+U49+W49+Y49+AA49+AC49</f>
        <v>0</v>
      </c>
    </row>
    <row r="54" spans="1:29" ht="15" hidden="1" customHeight="1" thickBot="1" x14ac:dyDescent="0.35">
      <c r="A54" s="212"/>
      <c r="B54" s="231"/>
      <c r="C54" s="215"/>
      <c r="D54" s="50"/>
      <c r="E54" s="30"/>
      <c r="F54" s="4"/>
    </row>
    <row r="55" spans="1:29" ht="16.2" hidden="1" customHeight="1" thickTop="1" x14ac:dyDescent="0.3">
      <c r="A55" s="212"/>
      <c r="B55" s="231"/>
      <c r="C55" s="215"/>
      <c r="D55" s="50"/>
      <c r="E55" s="30"/>
      <c r="F55" s="405" t="s">
        <v>29</v>
      </c>
      <c r="G55" s="405"/>
      <c r="H55" s="405" t="s">
        <v>0</v>
      </c>
      <c r="I55" s="405"/>
      <c r="J55" s="405" t="s">
        <v>2</v>
      </c>
      <c r="K55" s="405"/>
      <c r="L55" s="405" t="s">
        <v>3</v>
      </c>
      <c r="M55" s="405"/>
      <c r="N55" s="405" t="s">
        <v>4</v>
      </c>
      <c r="O55" s="405"/>
      <c r="P55" s="405" t="s">
        <v>5</v>
      </c>
      <c r="Q55" s="405"/>
      <c r="R55" s="405" t="s">
        <v>6</v>
      </c>
      <c r="S55" s="405"/>
      <c r="T55" s="405" t="s">
        <v>7</v>
      </c>
      <c r="U55" s="405"/>
      <c r="V55" s="405" t="s">
        <v>8</v>
      </c>
      <c r="W55" s="405"/>
      <c r="X55" s="405" t="s">
        <v>15</v>
      </c>
      <c r="Y55" s="405"/>
      <c r="Z55" s="405" t="s">
        <v>16</v>
      </c>
      <c r="AA55" s="405"/>
      <c r="AB55" s="405" t="s">
        <v>30</v>
      </c>
      <c r="AC55" s="405"/>
    </row>
    <row r="56" spans="1:29" ht="15.6" hidden="1" customHeight="1" x14ac:dyDescent="0.3">
      <c r="A56" s="212"/>
      <c r="B56" s="213"/>
      <c r="C56" s="215"/>
      <c r="F56" s="37" t="s">
        <v>76</v>
      </c>
      <c r="G56" s="38" t="s">
        <v>77</v>
      </c>
      <c r="H56" s="37" t="s">
        <v>76</v>
      </c>
      <c r="I56" s="38" t="s">
        <v>77</v>
      </c>
      <c r="J56" s="37" t="s">
        <v>76</v>
      </c>
      <c r="K56" s="38" t="s">
        <v>77</v>
      </c>
      <c r="L56" s="37" t="s">
        <v>76</v>
      </c>
      <c r="M56" s="38" t="s">
        <v>77</v>
      </c>
      <c r="N56" s="37" t="s">
        <v>76</v>
      </c>
      <c r="O56" s="38" t="s">
        <v>77</v>
      </c>
      <c r="P56" s="37" t="s">
        <v>76</v>
      </c>
      <c r="Q56" s="38" t="s">
        <v>77</v>
      </c>
      <c r="R56" s="37" t="s">
        <v>76</v>
      </c>
      <c r="S56" s="38" t="s">
        <v>77</v>
      </c>
      <c r="T56" s="37" t="s">
        <v>76</v>
      </c>
      <c r="U56" s="38" t="s">
        <v>77</v>
      </c>
      <c r="V56" s="37" t="s">
        <v>76</v>
      </c>
      <c r="W56" s="38" t="s">
        <v>77</v>
      </c>
      <c r="X56" s="37" t="s">
        <v>76</v>
      </c>
      <c r="Y56" s="38" t="s">
        <v>77</v>
      </c>
      <c r="Z56" s="37" t="s">
        <v>76</v>
      </c>
      <c r="AA56" s="38" t="s">
        <v>77</v>
      </c>
      <c r="AB56" s="37" t="s">
        <v>76</v>
      </c>
      <c r="AC56" s="38" t="s">
        <v>77</v>
      </c>
    </row>
    <row r="57" spans="1:29" ht="15.6" hidden="1" customHeight="1" x14ac:dyDescent="0.3">
      <c r="A57" s="212"/>
      <c r="B57" s="213"/>
      <c r="C57" s="215"/>
      <c r="D57" s="369" t="s">
        <v>135</v>
      </c>
      <c r="E57" s="33" t="s">
        <v>11</v>
      </c>
      <c r="F57" s="39" t="str">
        <f>'Food Serves'!K93</f>
        <v>N/A</v>
      </c>
      <c r="G57" s="39">
        <f>'Food Serves'!L93</f>
        <v>0</v>
      </c>
      <c r="H57" s="39" t="str">
        <f>'Food Serves'!M93</f>
        <v>Continental</v>
      </c>
      <c r="I57" s="39">
        <f>'Food Serves'!N93</f>
        <v>0</v>
      </c>
      <c r="J57" s="39" t="str">
        <f>'Food Serves'!O93</f>
        <v>N/A</v>
      </c>
      <c r="K57" s="39">
        <f>'Food Serves'!P93</f>
        <v>0</v>
      </c>
      <c r="L57" s="39" t="str">
        <f>'Food Serves'!Q93</f>
        <v>N/A</v>
      </c>
      <c r="M57" s="39">
        <f>'Food Serves'!R93</f>
        <v>0</v>
      </c>
      <c r="N57" s="39" t="str">
        <f>'Food Serves'!S93</f>
        <v>Continental</v>
      </c>
      <c r="O57" s="39">
        <f>'Food Serves'!T93</f>
        <v>0</v>
      </c>
      <c r="P57" s="39" t="str">
        <f>'Food Serves'!U93</f>
        <v>Bacon, Eggs &amp; Sausages</v>
      </c>
      <c r="Q57" s="39">
        <f>'Food Serves'!V93</f>
        <v>0</v>
      </c>
      <c r="R57" s="39" t="str">
        <f>'Food Serves'!W93</f>
        <v>Bacon, Eggs &amp; Sausages</v>
      </c>
      <c r="S57" s="39">
        <f>'Food Serves'!X93</f>
        <v>0</v>
      </c>
      <c r="T57" s="39" t="str">
        <f>'Food Serves'!Y93</f>
        <v>Continental</v>
      </c>
      <c r="U57" s="39">
        <f>'Food Serves'!Z93</f>
        <v>0</v>
      </c>
      <c r="V57" s="39" t="str">
        <f>'Food Serves'!AA93</f>
        <v>Continental</v>
      </c>
      <c r="W57" s="39">
        <f>'Food Serves'!AB93</f>
        <v>0</v>
      </c>
      <c r="X57" s="39" t="str">
        <f>'Food Serves'!AC93</f>
        <v>Bacon, Eggs &amp; Sausages</v>
      </c>
      <c r="Y57" s="39">
        <f>'Food Serves'!AD93</f>
        <v>0</v>
      </c>
      <c r="Z57" s="39" t="str">
        <f>'Food Serves'!AE93</f>
        <v>Continental</v>
      </c>
      <c r="AA57" s="39">
        <f>'Food Serves'!AF93</f>
        <v>0</v>
      </c>
      <c r="AB57" s="39" t="str">
        <f>'Food Serves'!AG93</f>
        <v>N/A</v>
      </c>
      <c r="AC57" s="39">
        <f>'Food Serves'!AH93</f>
        <v>0</v>
      </c>
    </row>
    <row r="58" spans="1:29" ht="15.6" hidden="1" customHeight="1" x14ac:dyDescent="0.3">
      <c r="A58" s="212"/>
      <c r="B58" s="213"/>
      <c r="C58" s="215"/>
      <c r="D58" s="370"/>
      <c r="E58" s="30" t="s">
        <v>9</v>
      </c>
      <c r="F58" s="39" t="str">
        <f>'Food Serves'!K94</f>
        <v>N/A</v>
      </c>
      <c r="G58" s="39">
        <f>'Food Serves'!L94</f>
        <v>0</v>
      </c>
      <c r="H58" s="39" t="str">
        <f>'Food Serves'!M94</f>
        <v>N/A</v>
      </c>
      <c r="I58" s="39">
        <f>'Food Serves'!N94</f>
        <v>0</v>
      </c>
      <c r="J58" s="39" t="str">
        <f>'Food Serves'!O94</f>
        <v>N/A</v>
      </c>
      <c r="K58" s="39">
        <f>'Food Serves'!P94</f>
        <v>0</v>
      </c>
      <c r="L58" s="39" t="str">
        <f>'Food Serves'!Q94</f>
        <v>Beef Wraps</v>
      </c>
      <c r="M58" s="39">
        <f>'Food Serves'!R94</f>
        <v>0</v>
      </c>
      <c r="N58" s="39" t="str">
        <f>'Food Serves'!S94</f>
        <v>Chicken Wraps</v>
      </c>
      <c r="O58" s="39">
        <f>'Food Serves'!T94</f>
        <v>0</v>
      </c>
      <c r="P58" s="39" t="str">
        <f>'Food Serves'!U94</f>
        <v>Beef Wraps</v>
      </c>
      <c r="Q58" s="39">
        <f>'Food Serves'!V94</f>
        <v>0</v>
      </c>
      <c r="R58" s="39" t="str">
        <f>'Food Serves'!W94</f>
        <v>Toasted Chicken Paninis</v>
      </c>
      <c r="S58" s="39">
        <f>'Food Serves'!X94</f>
        <v>0</v>
      </c>
      <c r="T58" s="39" t="str">
        <f>'Food Serves'!Y94</f>
        <v>chickpea curry</v>
      </c>
      <c r="U58" s="39">
        <f>'Food Serves'!Z94</f>
        <v>0</v>
      </c>
      <c r="V58" s="39" t="str">
        <f>'Food Serves'!AA94</f>
        <v>Potato Salad with Chirizo</v>
      </c>
      <c r="W58" s="39">
        <f>'Food Serves'!AB94</f>
        <v>0</v>
      </c>
      <c r="X58" s="39" t="str">
        <f>'Food Serves'!AC94</f>
        <v>N/A</v>
      </c>
      <c r="Y58" s="39">
        <f>'Food Serves'!AD94</f>
        <v>0</v>
      </c>
      <c r="Z58" s="39" t="str">
        <f>'Food Serves'!AE94</f>
        <v>N/A</v>
      </c>
      <c r="AA58" s="39">
        <f>'Food Serves'!AF94</f>
        <v>0</v>
      </c>
      <c r="AB58" s="39" t="str">
        <f>'Food Serves'!AG94</f>
        <v>N/A</v>
      </c>
      <c r="AC58" s="39">
        <f>'Food Serves'!AH94</f>
        <v>0</v>
      </c>
    </row>
    <row r="59" spans="1:29" ht="15.6" hidden="1" customHeight="1" x14ac:dyDescent="0.3">
      <c r="A59" s="212"/>
      <c r="B59" s="213"/>
      <c r="C59" s="215"/>
      <c r="D59" s="371"/>
      <c r="E59" s="34" t="s">
        <v>1</v>
      </c>
      <c r="F59" s="39" t="str">
        <f>'Food Serves'!K95</f>
        <v>N/A</v>
      </c>
      <c r="G59" s="39">
        <f>'Food Serves'!L95</f>
        <v>0</v>
      </c>
      <c r="H59" s="39" t="str">
        <f>'Food Serves'!M95</f>
        <v>N/A</v>
      </c>
      <c r="I59" s="39">
        <f>'Food Serves'!N95</f>
        <v>0</v>
      </c>
      <c r="J59" s="39" t="str">
        <f>'Food Serves'!O95</f>
        <v>N/A</v>
      </c>
      <c r="K59" s="39">
        <f>'Food Serves'!P95</f>
        <v>0</v>
      </c>
      <c r="L59" s="39" t="str">
        <f>'Food Serves'!Q95</f>
        <v>N/A</v>
      </c>
      <c r="M59" s="39">
        <f>'Food Serves'!R95</f>
        <v>0</v>
      </c>
      <c r="N59" s="39" t="str">
        <f>'Food Serves'!S95</f>
        <v>Chicken Fried Rice</v>
      </c>
      <c r="O59" s="39">
        <f>'Food Serves'!T95</f>
        <v>0</v>
      </c>
      <c r="P59" s="39" t="str">
        <f>'Food Serves'!U95</f>
        <v>Beef &amp; soba noodles</v>
      </c>
      <c r="Q59" s="39">
        <f>'Food Serves'!V95</f>
        <v>0</v>
      </c>
      <c r="R59" s="39" t="str">
        <f>'Food Serves'!W95</f>
        <v>Pulled Pork Nachos</v>
      </c>
      <c r="S59" s="39">
        <f>'Food Serves'!X95</f>
        <v>0</v>
      </c>
      <c r="T59" s="39" t="str">
        <f>'Food Serves'!Y95</f>
        <v>Spaghetti Bolognese</v>
      </c>
      <c r="U59" s="39">
        <f>'Food Serves'!Z95</f>
        <v>0</v>
      </c>
      <c r="V59" s="39" t="str">
        <f>'Food Serves'!AA95</f>
        <v>N/A</v>
      </c>
      <c r="W59" s="39">
        <f>'Food Serves'!AB95</f>
        <v>0</v>
      </c>
      <c r="X59" s="39" t="str">
        <f>'Food Serves'!AC95</f>
        <v>Steak &amp; mash</v>
      </c>
      <c r="Y59" s="39">
        <f>'Food Serves'!AD95</f>
        <v>0</v>
      </c>
      <c r="Z59" s="39" t="str">
        <f>'Food Serves'!AE95</f>
        <v>N/A</v>
      </c>
      <c r="AA59" s="39">
        <f>'Food Serves'!AF95</f>
        <v>0</v>
      </c>
      <c r="AB59" s="39" t="str">
        <f>'Food Serves'!AG95</f>
        <v>N/A</v>
      </c>
      <c r="AC59" s="39">
        <f>'Food Serves'!AH95</f>
        <v>0</v>
      </c>
    </row>
    <row r="60" spans="1:29" ht="15.6" hidden="1" customHeight="1" x14ac:dyDescent="0.3">
      <c r="A60" s="212"/>
      <c r="B60" s="213"/>
      <c r="C60" s="215"/>
    </row>
    <row r="61" spans="1:29" ht="15.6" hidden="1" customHeight="1" x14ac:dyDescent="0.3">
      <c r="A61" s="212"/>
      <c r="B61" s="213"/>
      <c r="C61" s="215"/>
      <c r="D61" s="406" t="s">
        <v>141</v>
      </c>
      <c r="E61" s="30" t="s">
        <v>71</v>
      </c>
      <c r="F61" s="4">
        <f>G57+I57+K57+M57+O57+Q57+S57+U57+W57+Y57+AA57+AC57</f>
        <v>0</v>
      </c>
    </row>
    <row r="62" spans="1:29" ht="15.6" hidden="1" customHeight="1" x14ac:dyDescent="0.3">
      <c r="A62" s="212"/>
      <c r="B62" s="213"/>
      <c r="C62" s="215"/>
      <c r="D62" s="406"/>
      <c r="E62" s="30" t="s">
        <v>140</v>
      </c>
      <c r="F62" s="4">
        <f>G58+I58+K58+M58+O58+Q58+S58+U58+W58+Y58+AA58+AC58</f>
        <v>0</v>
      </c>
    </row>
    <row r="63" spans="1:29" ht="15.6" hidden="1" customHeight="1" x14ac:dyDescent="0.3">
      <c r="A63" s="212"/>
      <c r="B63" s="213"/>
      <c r="C63" s="215"/>
      <c r="D63" s="407"/>
      <c r="E63" s="34" t="s">
        <v>139</v>
      </c>
      <c r="F63" s="14">
        <f>G59+I59+K59+M59+O59+Q59+S59+U59+W59+Y59+AA59+AC59</f>
        <v>0</v>
      </c>
    </row>
    <row r="64" spans="1:29" ht="16.2" thickTop="1" x14ac:dyDescent="0.3">
      <c r="A64" s="212"/>
      <c r="B64" s="213"/>
      <c r="C64" s="215"/>
    </row>
    <row r="65" spans="1:8" x14ac:dyDescent="0.3">
      <c r="A65" s="212"/>
      <c r="B65" s="213"/>
      <c r="C65" s="215"/>
    </row>
    <row r="66" spans="1:8" x14ac:dyDescent="0.3">
      <c r="A66" s="212"/>
      <c r="B66" s="213"/>
      <c r="C66" s="215"/>
      <c r="D66" s="282" t="str" cm="1">
        <f t="array" ref="D66:H77">guest_lists[]</f>
        <v>12 - DPCYT</v>
      </c>
      <c r="E66" s="282" t="str">
        <v>Penelope Lister</v>
      </c>
      <c r="F66" s="282" t="str">
        <v>party_1 G1</v>
      </c>
      <c r="G66" s="282" t="str">
        <v>nil</v>
      </c>
      <c r="H66" s="282">
        <v>0</v>
      </c>
    </row>
    <row r="67" spans="1:8" x14ac:dyDescent="0.3">
      <c r="A67" s="212"/>
      <c r="B67" s="213"/>
      <c r="C67" s="215"/>
      <c r="D67" s="282" t="str">
        <v>12 - DPCYT</v>
      </c>
      <c r="E67" s="282" t="str">
        <v>Gerald Lister</v>
      </c>
      <c r="F67" s="282" t="str">
        <v>party_1 G2</v>
      </c>
      <c r="G67" s="282" t="str">
        <v>nil</v>
      </c>
      <c r="H67" s="282">
        <v>0</v>
      </c>
    </row>
    <row r="68" spans="1:8" x14ac:dyDescent="0.3">
      <c r="A68" s="212"/>
      <c r="B68" s="213"/>
      <c r="C68" s="215"/>
      <c r="D68" s="282" t="str">
        <v>12 - DPCYT</v>
      </c>
      <c r="E68" s="282" t="str">
        <v>Denis Lister</v>
      </c>
      <c r="F68" s="282" t="str">
        <v>party_2 G1</v>
      </c>
      <c r="G68" s="282" t="str">
        <v>nil</v>
      </c>
      <c r="H68" s="282">
        <v>0</v>
      </c>
    </row>
    <row r="69" spans="1:8" x14ac:dyDescent="0.3">
      <c r="A69" s="212"/>
      <c r="B69" s="213"/>
      <c r="C69" s="215"/>
      <c r="D69" s="282" t="str">
        <v>12 - DSCYT</v>
      </c>
      <c r="E69" s="282" t="str">
        <v>Mark Morgan</v>
      </c>
      <c r="F69" s="282" t="str">
        <v>party_3 G1</v>
      </c>
      <c r="G69" s="282" t="str">
        <v>nil</v>
      </c>
      <c r="H69" s="282">
        <v>0</v>
      </c>
    </row>
    <row r="70" spans="1:8" x14ac:dyDescent="0.3">
      <c r="A70" s="212"/>
      <c r="B70" s="213"/>
      <c r="C70" s="215"/>
      <c r="D70" s="282" t="str">
        <v>12 - DSCYT</v>
      </c>
      <c r="E70" s="282" t="str">
        <v>Nicola Morgan</v>
      </c>
      <c r="F70" s="282" t="str">
        <v>party_3 G2</v>
      </c>
      <c r="G70" s="282" t="str">
        <v>nil</v>
      </c>
      <c r="H70" s="282">
        <v>0</v>
      </c>
    </row>
    <row r="71" spans="1:8" ht="86.4" x14ac:dyDescent="0.3">
      <c r="A71" s="212"/>
      <c r="B71" s="213"/>
      <c r="C71" s="215"/>
      <c r="D71" s="282" t="str">
        <v>12 - DSCYT</v>
      </c>
      <c r="E71" s="282" t="str">
        <v>Joan Roberts</v>
      </c>
      <c r="F71" s="282" t="str">
        <v>party_4 G1</v>
      </c>
      <c r="G71" s="282" t="str">
        <v>nil</v>
      </c>
      <c r="H71" s="282" t="str">
        <v>needs wheetbix for breakfast / low sugar meals</v>
      </c>
    </row>
    <row r="72" spans="1:8" x14ac:dyDescent="0.3">
      <c r="A72" s="212"/>
      <c r="B72" s="213"/>
      <c r="C72" s="215"/>
      <c r="D72" s="282" t="str">
        <v>12 - DSCYT</v>
      </c>
      <c r="E72" s="282" t="str">
        <v>Valerie Mead</v>
      </c>
      <c r="F72" s="282" t="str">
        <v>party_4 G2</v>
      </c>
      <c r="G72" s="282" t="str">
        <v>nil</v>
      </c>
      <c r="H72" s="282">
        <v>0</v>
      </c>
    </row>
    <row r="73" spans="1:8" x14ac:dyDescent="0.3">
      <c r="C73" s="218"/>
      <c r="D73" s="282" t="str">
        <v>12 - DSCYT</v>
      </c>
      <c r="E73" s="282" t="str">
        <v>Ann Berriman</v>
      </c>
      <c r="F73" s="282" t="str">
        <v>party_5 G1</v>
      </c>
      <c r="G73" s="282" t="str">
        <v>nil</v>
      </c>
      <c r="H73" s="282">
        <v>0</v>
      </c>
    </row>
    <row r="74" spans="1:8" ht="57.6" x14ac:dyDescent="0.3">
      <c r="C74" s="218"/>
      <c r="D74" s="282" t="str">
        <v>12 - DSCYT</v>
      </c>
      <c r="E74" s="282" t="str">
        <v>Wanda Drost</v>
      </c>
      <c r="F74" s="282" t="str">
        <v>party_5 G2</v>
      </c>
      <c r="G74" s="282" t="str">
        <v>celiac</v>
      </c>
      <c r="H74" s="282" t="str">
        <v>Gluten Intolerant/ Allergic to Shellfish</v>
      </c>
    </row>
    <row r="75" spans="1:8" x14ac:dyDescent="0.3">
      <c r="C75" s="218"/>
      <c r="D75" s="282" t="str">
        <v>5 - DTT</v>
      </c>
      <c r="E75" s="282" t="str">
        <v>Ian Neil</v>
      </c>
      <c r="F75" s="282" t="str">
        <v>party_6 G1</v>
      </c>
      <c r="G75" s="282" t="str">
        <v>nil</v>
      </c>
      <c r="H75" s="282">
        <v>0</v>
      </c>
    </row>
    <row r="76" spans="1:8" x14ac:dyDescent="0.3">
      <c r="C76" s="218"/>
      <c r="D76" s="282" t="str">
        <v>5 - DTT</v>
      </c>
      <c r="E76" s="282" t="str">
        <v>Graheme Fergueson</v>
      </c>
      <c r="F76" s="282" t="str">
        <v>party_6 G2</v>
      </c>
      <c r="G76" s="282" t="str">
        <v>nil</v>
      </c>
      <c r="H76" s="282">
        <v>0</v>
      </c>
    </row>
    <row r="77" spans="1:8" x14ac:dyDescent="0.3">
      <c r="C77" s="218"/>
      <c r="D77" s="282" t="str">
        <v>9 - DPSYT</v>
      </c>
      <c r="E77" s="282" t="str">
        <v>Raewyn Brookie</v>
      </c>
      <c r="F77" s="282" t="str">
        <v>party_7 G1</v>
      </c>
      <c r="G77" s="282" t="str">
        <v>nil</v>
      </c>
      <c r="H77" s="282">
        <v>0</v>
      </c>
    </row>
    <row r="78" spans="1:8" x14ac:dyDescent="0.3">
      <c r="C78" s="218"/>
    </row>
    <row r="79" spans="1:8" x14ac:dyDescent="0.3">
      <c r="C79" s="218"/>
      <c r="D79" s="1" t="s">
        <v>37</v>
      </c>
      <c r="E79" s="30" t="s">
        <v>454</v>
      </c>
      <c r="F79" s="1" t="s">
        <v>195</v>
      </c>
      <c r="G79" s="1" t="s">
        <v>35</v>
      </c>
      <c r="H79" s="1" t="s">
        <v>109</v>
      </c>
    </row>
    <row r="80" spans="1:8" x14ac:dyDescent="0.3">
      <c r="C80" s="218"/>
      <c r="D80" s="2" t="str" cm="1">
        <f t="array" ref="D80:G82">guide_lists[]</f>
        <v>12 - DPCYT</v>
      </c>
      <c r="E80" s="2" t="str">
        <v>Malia Schmidt</v>
      </c>
      <c r="F80" s="2" t="str">
        <v>nil</v>
      </c>
      <c r="G80" s="2">
        <v>0</v>
      </c>
      <c r="H80" s="2"/>
    </row>
    <row r="81" spans="3:8" x14ac:dyDescent="0.3">
      <c r="C81" s="218"/>
      <c r="D81" s="2" t="str">
        <v>12 - DPCYT</v>
      </c>
      <c r="E81" s="2" t="str">
        <v>Mark Cromwell</v>
      </c>
      <c r="F81" s="2" t="str">
        <v>nil</v>
      </c>
      <c r="G81" s="2">
        <v>0</v>
      </c>
      <c r="H81" s="2"/>
    </row>
    <row r="82" spans="3:8" x14ac:dyDescent="0.3">
      <c r="C82" s="218"/>
      <c r="D82" s="2" t="str">
        <v>5 - DTT</v>
      </c>
      <c r="E82" s="2" t="str">
        <v>Orion</v>
      </c>
      <c r="F82" s="2" t="str">
        <v>nil</v>
      </c>
      <c r="G82" s="2">
        <v>0</v>
      </c>
      <c r="H82" s="2"/>
    </row>
    <row r="83" spans="3:8" x14ac:dyDescent="0.3">
      <c r="C83" s="218"/>
    </row>
    <row r="84" spans="3:8" x14ac:dyDescent="0.3">
      <c r="C84" s="218"/>
    </row>
    <row r="85" spans="3:8" x14ac:dyDescent="0.3">
      <c r="C85" s="218"/>
    </row>
    <row r="86" spans="3:8" x14ac:dyDescent="0.3">
      <c r="C86" s="218"/>
    </row>
    <row r="87" spans="3:8" x14ac:dyDescent="0.3">
      <c r="C87" s="218"/>
    </row>
    <row r="88" spans="3:8" x14ac:dyDescent="0.3">
      <c r="C88" s="218"/>
    </row>
    <row r="89" spans="3:8" x14ac:dyDescent="0.3">
      <c r="C89" s="218"/>
    </row>
    <row r="90" spans="3:8" x14ac:dyDescent="0.3">
      <c r="C90" s="218"/>
    </row>
    <row r="91" spans="3:8" x14ac:dyDescent="0.3">
      <c r="C91" s="218"/>
    </row>
    <row r="92" spans="3:8" x14ac:dyDescent="0.3">
      <c r="C92" s="218"/>
    </row>
    <row r="93" spans="3:8" x14ac:dyDescent="0.3">
      <c r="C93" s="218"/>
    </row>
    <row r="94" spans="3:8" x14ac:dyDescent="0.3">
      <c r="C94" s="218"/>
    </row>
    <row r="95" spans="3:8" x14ac:dyDescent="0.3">
      <c r="C95" s="218"/>
    </row>
    <row r="96" spans="3:8" x14ac:dyDescent="0.3">
      <c r="C96" s="218"/>
    </row>
    <row r="97" spans="3:3" x14ac:dyDescent="0.3">
      <c r="C97" s="218"/>
    </row>
    <row r="98" spans="3:3" x14ac:dyDescent="0.3">
      <c r="C98" s="218"/>
    </row>
    <row r="99" spans="3:3" x14ac:dyDescent="0.3">
      <c r="C99" s="218"/>
    </row>
    <row r="100" spans="3:3" x14ac:dyDescent="0.3">
      <c r="C100" s="218"/>
    </row>
    <row r="101" spans="3:3" x14ac:dyDescent="0.3">
      <c r="C101" s="218"/>
    </row>
    <row r="102" spans="3:3" x14ac:dyDescent="0.3">
      <c r="C102" s="218"/>
    </row>
    <row r="103" spans="3:3" x14ac:dyDescent="0.3">
      <c r="C103" s="218"/>
    </row>
    <row r="104" spans="3:3" x14ac:dyDescent="0.3">
      <c r="C104" s="218"/>
    </row>
    <row r="105" spans="3:3" x14ac:dyDescent="0.3">
      <c r="C105" s="218"/>
    </row>
    <row r="106" spans="3:3" x14ac:dyDescent="0.3">
      <c r="C106" s="218"/>
    </row>
    <row r="107" spans="3:3" x14ac:dyDescent="0.3">
      <c r="C107" s="218"/>
    </row>
    <row r="108" spans="3:3" x14ac:dyDescent="0.3">
      <c r="C108" s="218"/>
    </row>
    <row r="109" spans="3:3" x14ac:dyDescent="0.3">
      <c r="C109" s="218"/>
    </row>
    <row r="110" spans="3:3" x14ac:dyDescent="0.3">
      <c r="C110" s="218"/>
    </row>
    <row r="111" spans="3:3" x14ac:dyDescent="0.3">
      <c r="C111" s="218"/>
    </row>
    <row r="112" spans="3:3" x14ac:dyDescent="0.3">
      <c r="C112" s="218"/>
    </row>
    <row r="113" spans="3:3" x14ac:dyDescent="0.3">
      <c r="C113" s="218"/>
    </row>
    <row r="114" spans="3:3" x14ac:dyDescent="0.3">
      <c r="C114" s="218"/>
    </row>
    <row r="115" spans="3:3" x14ac:dyDescent="0.3">
      <c r="C115" s="218"/>
    </row>
    <row r="116" spans="3:3" x14ac:dyDescent="0.3">
      <c r="C116" s="218"/>
    </row>
    <row r="117" spans="3:3" x14ac:dyDescent="0.3">
      <c r="C117" s="218"/>
    </row>
    <row r="118" spans="3:3" x14ac:dyDescent="0.3">
      <c r="C118" s="218"/>
    </row>
    <row r="119" spans="3:3" x14ac:dyDescent="0.3">
      <c r="C119" s="218"/>
    </row>
    <row r="120" spans="3:3" x14ac:dyDescent="0.3">
      <c r="C120" s="218"/>
    </row>
    <row r="121" spans="3:3" x14ac:dyDescent="0.3">
      <c r="C121" s="218"/>
    </row>
    <row r="122" spans="3:3" x14ac:dyDescent="0.3">
      <c r="C122" s="218"/>
    </row>
    <row r="123" spans="3:3" x14ac:dyDescent="0.3">
      <c r="C123" s="218"/>
    </row>
    <row r="124" spans="3:3" x14ac:dyDescent="0.3">
      <c r="C124" s="218"/>
    </row>
    <row r="125" spans="3:3" x14ac:dyDescent="0.3">
      <c r="C125" s="218"/>
    </row>
    <row r="126" spans="3:3" x14ac:dyDescent="0.3">
      <c r="C126" s="218"/>
    </row>
    <row r="127" spans="3:3" x14ac:dyDescent="0.3">
      <c r="C127" s="218"/>
    </row>
    <row r="128" spans="3:3" x14ac:dyDescent="0.3">
      <c r="C128" s="218"/>
    </row>
    <row r="129" spans="3:3" x14ac:dyDescent="0.3">
      <c r="C129" s="218"/>
    </row>
    <row r="130" spans="3:3" x14ac:dyDescent="0.3">
      <c r="C130" s="218"/>
    </row>
    <row r="131" spans="3:3" x14ac:dyDescent="0.3">
      <c r="C131" s="218"/>
    </row>
    <row r="132" spans="3:3" x14ac:dyDescent="0.3">
      <c r="C132" s="218"/>
    </row>
    <row r="133" spans="3:3" x14ac:dyDescent="0.3">
      <c r="C133" s="218"/>
    </row>
    <row r="134" spans="3:3" x14ac:dyDescent="0.3">
      <c r="C134" s="218"/>
    </row>
    <row r="135" spans="3:3" x14ac:dyDescent="0.3">
      <c r="C135" s="218"/>
    </row>
    <row r="136" spans="3:3" x14ac:dyDescent="0.3">
      <c r="C136" s="218"/>
    </row>
    <row r="137" spans="3:3" x14ac:dyDescent="0.3">
      <c r="C137" s="218"/>
    </row>
    <row r="138" spans="3:3" x14ac:dyDescent="0.3">
      <c r="C138" s="218"/>
    </row>
    <row r="139" spans="3:3" x14ac:dyDescent="0.3">
      <c r="C139" s="218"/>
    </row>
    <row r="140" spans="3:3" x14ac:dyDescent="0.3">
      <c r="C140" s="218"/>
    </row>
    <row r="141" spans="3:3" x14ac:dyDescent="0.3">
      <c r="C141" s="218"/>
    </row>
    <row r="142" spans="3:3" x14ac:dyDescent="0.3">
      <c r="C142" s="218"/>
    </row>
    <row r="143" spans="3:3" x14ac:dyDescent="0.3">
      <c r="C143" s="218"/>
    </row>
    <row r="144" spans="3:3" x14ac:dyDescent="0.3">
      <c r="C144" s="218"/>
    </row>
    <row r="145" spans="3:3" x14ac:dyDescent="0.3">
      <c r="C145" s="218"/>
    </row>
    <row r="146" spans="3:3" x14ac:dyDescent="0.3">
      <c r="C146" s="218"/>
    </row>
    <row r="147" spans="3:3" x14ac:dyDescent="0.3">
      <c r="C147" s="218"/>
    </row>
    <row r="148" spans="3:3" x14ac:dyDescent="0.3">
      <c r="C148" s="218"/>
    </row>
    <row r="149" spans="3:3" x14ac:dyDescent="0.3">
      <c r="C149" s="218"/>
    </row>
    <row r="150" spans="3:3" x14ac:dyDescent="0.3">
      <c r="C150" s="218"/>
    </row>
    <row r="151" spans="3:3" x14ac:dyDescent="0.3">
      <c r="C151" s="218"/>
    </row>
    <row r="152" spans="3:3" x14ac:dyDescent="0.3">
      <c r="C152" s="218"/>
    </row>
    <row r="153" spans="3:3" x14ac:dyDescent="0.3">
      <c r="C153" s="218"/>
    </row>
    <row r="154" spans="3:3" x14ac:dyDescent="0.3">
      <c r="C154" s="218"/>
    </row>
    <row r="155" spans="3:3" x14ac:dyDescent="0.3">
      <c r="C155" s="218"/>
    </row>
    <row r="156" spans="3:3" x14ac:dyDescent="0.3">
      <c r="C156" s="218"/>
    </row>
    <row r="157" spans="3:3" x14ac:dyDescent="0.3">
      <c r="C157" s="218"/>
    </row>
    <row r="158" spans="3:3" x14ac:dyDescent="0.3">
      <c r="C158" s="218"/>
    </row>
    <row r="159" spans="3:3" x14ac:dyDescent="0.3">
      <c r="C159" s="218"/>
    </row>
    <row r="160" spans="3:3" x14ac:dyDescent="0.3">
      <c r="C160" s="218"/>
    </row>
    <row r="161" spans="3:3" x14ac:dyDescent="0.3">
      <c r="C161" s="218"/>
    </row>
    <row r="162" spans="3:3" x14ac:dyDescent="0.3">
      <c r="C162" s="218"/>
    </row>
    <row r="163" spans="3:3" x14ac:dyDescent="0.3">
      <c r="C163" s="218"/>
    </row>
    <row r="164" spans="3:3" x14ac:dyDescent="0.3">
      <c r="C164" s="218"/>
    </row>
    <row r="165" spans="3:3" x14ac:dyDescent="0.3">
      <c r="C165" s="218"/>
    </row>
    <row r="166" spans="3:3" x14ac:dyDescent="0.3">
      <c r="C166" s="218"/>
    </row>
    <row r="167" spans="3:3" x14ac:dyDescent="0.3">
      <c r="C167" s="218"/>
    </row>
    <row r="168" spans="3:3" x14ac:dyDescent="0.3">
      <c r="C168" s="218"/>
    </row>
    <row r="169" spans="3:3" x14ac:dyDescent="0.3">
      <c r="C169" s="218"/>
    </row>
    <row r="170" spans="3:3" x14ac:dyDescent="0.3">
      <c r="C170" s="218"/>
    </row>
    <row r="171" spans="3:3" x14ac:dyDescent="0.3">
      <c r="C171" s="218"/>
    </row>
    <row r="172" spans="3:3" x14ac:dyDescent="0.3">
      <c r="C172" s="218"/>
    </row>
    <row r="173" spans="3:3" x14ac:dyDescent="0.3">
      <c r="C173" s="218"/>
    </row>
    <row r="174" spans="3:3" x14ac:dyDescent="0.3">
      <c r="C174" s="218"/>
    </row>
    <row r="175" spans="3:3" x14ac:dyDescent="0.3">
      <c r="C175" s="218"/>
    </row>
    <row r="176" spans="3:3" x14ac:dyDescent="0.3">
      <c r="C176" s="218"/>
    </row>
    <row r="177" spans="3:3" x14ac:dyDescent="0.3">
      <c r="C177" s="218"/>
    </row>
    <row r="178" spans="3:3" x14ac:dyDescent="0.3">
      <c r="C178" s="218"/>
    </row>
    <row r="179" spans="3:3" x14ac:dyDescent="0.3">
      <c r="C179" s="218"/>
    </row>
    <row r="180" spans="3:3" x14ac:dyDescent="0.3">
      <c r="C180" s="218"/>
    </row>
    <row r="181" spans="3:3" x14ac:dyDescent="0.3">
      <c r="C181" s="218"/>
    </row>
    <row r="182" spans="3:3" x14ac:dyDescent="0.3">
      <c r="C182" s="218"/>
    </row>
    <row r="183" spans="3:3" x14ac:dyDescent="0.3">
      <c r="C183" s="218"/>
    </row>
    <row r="184" spans="3:3" x14ac:dyDescent="0.3">
      <c r="C184" s="218"/>
    </row>
    <row r="185" spans="3:3" x14ac:dyDescent="0.3">
      <c r="C185" s="218"/>
    </row>
    <row r="186" spans="3:3" x14ac:dyDescent="0.3">
      <c r="C186" s="218"/>
    </row>
    <row r="187" spans="3:3" x14ac:dyDescent="0.3">
      <c r="C187" s="218"/>
    </row>
    <row r="188" spans="3:3" x14ac:dyDescent="0.3">
      <c r="C188" s="218"/>
    </row>
    <row r="189" spans="3:3" x14ac:dyDescent="0.3">
      <c r="C189" s="218"/>
    </row>
    <row r="190" spans="3:3" x14ac:dyDescent="0.3">
      <c r="C190" s="218"/>
    </row>
    <row r="191" spans="3:3" x14ac:dyDescent="0.3">
      <c r="C191" s="218"/>
    </row>
    <row r="192" spans="3:3" x14ac:dyDescent="0.3">
      <c r="C192" s="218"/>
    </row>
    <row r="193" spans="3:3" x14ac:dyDescent="0.3">
      <c r="C193" s="218"/>
    </row>
    <row r="194" spans="3:3" x14ac:dyDescent="0.3">
      <c r="C194" s="218"/>
    </row>
    <row r="195" spans="3:3" x14ac:dyDescent="0.3">
      <c r="C195" s="218"/>
    </row>
    <row r="196" spans="3:3" x14ac:dyDescent="0.3">
      <c r="C196" s="218"/>
    </row>
    <row r="197" spans="3:3" x14ac:dyDescent="0.3">
      <c r="C197" s="218"/>
    </row>
    <row r="198" spans="3:3" x14ac:dyDescent="0.3">
      <c r="C198" s="218"/>
    </row>
    <row r="199" spans="3:3" x14ac:dyDescent="0.3">
      <c r="C199" s="218"/>
    </row>
    <row r="200" spans="3:3" x14ac:dyDescent="0.3">
      <c r="C200" s="218"/>
    </row>
    <row r="201" spans="3:3" x14ac:dyDescent="0.3">
      <c r="C201" s="218"/>
    </row>
    <row r="202" spans="3:3" x14ac:dyDescent="0.3">
      <c r="C202" s="218"/>
    </row>
    <row r="203" spans="3:3" x14ac:dyDescent="0.3">
      <c r="C203" s="218"/>
    </row>
    <row r="204" spans="3:3" x14ac:dyDescent="0.3">
      <c r="C204" s="218"/>
    </row>
    <row r="205" spans="3:3" x14ac:dyDescent="0.3">
      <c r="C205" s="218"/>
    </row>
    <row r="206" spans="3:3" x14ac:dyDescent="0.3">
      <c r="C206" s="218"/>
    </row>
    <row r="207" spans="3:3" x14ac:dyDescent="0.3">
      <c r="C207" s="218"/>
    </row>
    <row r="208" spans="3:3" x14ac:dyDescent="0.3">
      <c r="C208" s="218"/>
    </row>
    <row r="209" spans="3:3" x14ac:dyDescent="0.3">
      <c r="C209" s="218"/>
    </row>
    <row r="210" spans="3:3" x14ac:dyDescent="0.3">
      <c r="C210" s="218"/>
    </row>
    <row r="211" spans="3:3" x14ac:dyDescent="0.3">
      <c r="C211" s="218"/>
    </row>
    <row r="212" spans="3:3" x14ac:dyDescent="0.3">
      <c r="C212" s="218"/>
    </row>
    <row r="213" spans="3:3" x14ac:dyDescent="0.3">
      <c r="C213" s="218"/>
    </row>
    <row r="214" spans="3:3" x14ac:dyDescent="0.3">
      <c r="C214" s="218"/>
    </row>
    <row r="215" spans="3:3" x14ac:dyDescent="0.3">
      <c r="C215" s="218"/>
    </row>
    <row r="216" spans="3:3" x14ac:dyDescent="0.3">
      <c r="C216" s="218"/>
    </row>
    <row r="217" spans="3:3" x14ac:dyDescent="0.3">
      <c r="C217" s="218"/>
    </row>
    <row r="218" spans="3:3" x14ac:dyDescent="0.3">
      <c r="C218" s="218"/>
    </row>
    <row r="219" spans="3:3" x14ac:dyDescent="0.3">
      <c r="C219" s="218"/>
    </row>
    <row r="220" spans="3:3" x14ac:dyDescent="0.3">
      <c r="C220" s="218"/>
    </row>
    <row r="221" spans="3:3" x14ac:dyDescent="0.3">
      <c r="C221" s="218"/>
    </row>
    <row r="222" spans="3:3" x14ac:dyDescent="0.3">
      <c r="C222" s="218"/>
    </row>
    <row r="223" spans="3:3" x14ac:dyDescent="0.3">
      <c r="C223" s="218"/>
    </row>
    <row r="224" spans="3:3" x14ac:dyDescent="0.3">
      <c r="C224" s="218"/>
    </row>
    <row r="225" spans="3:3" x14ac:dyDescent="0.3">
      <c r="C225" s="218"/>
    </row>
    <row r="226" spans="3:3" x14ac:dyDescent="0.3">
      <c r="C226" s="218"/>
    </row>
    <row r="227" spans="3:3" x14ac:dyDescent="0.3">
      <c r="C227" s="218"/>
    </row>
    <row r="228" spans="3:3" x14ac:dyDescent="0.3">
      <c r="C228" s="218"/>
    </row>
    <row r="229" spans="3:3" x14ac:dyDescent="0.3">
      <c r="C229" s="218"/>
    </row>
    <row r="230" spans="3:3" x14ac:dyDescent="0.3">
      <c r="C230" s="218"/>
    </row>
    <row r="231" spans="3:3" x14ac:dyDescent="0.3">
      <c r="C231" s="218"/>
    </row>
    <row r="232" spans="3:3" x14ac:dyDescent="0.3">
      <c r="C232" s="218"/>
    </row>
    <row r="233" spans="3:3" x14ac:dyDescent="0.3">
      <c r="C233" s="218"/>
    </row>
    <row r="234" spans="3:3" x14ac:dyDescent="0.3">
      <c r="C234" s="218"/>
    </row>
    <row r="235" spans="3:3" x14ac:dyDescent="0.3">
      <c r="C235" s="218"/>
    </row>
    <row r="236" spans="3:3" x14ac:dyDescent="0.3">
      <c r="C236" s="218"/>
    </row>
    <row r="237" spans="3:3" x14ac:dyDescent="0.3">
      <c r="C237" s="218"/>
    </row>
    <row r="238" spans="3:3" x14ac:dyDescent="0.3">
      <c r="C238" s="218"/>
    </row>
    <row r="239" spans="3:3" x14ac:dyDescent="0.3">
      <c r="C239" s="218"/>
    </row>
    <row r="240" spans="3:3" x14ac:dyDescent="0.3">
      <c r="C240" s="218"/>
    </row>
    <row r="241" spans="3:3" x14ac:dyDescent="0.3">
      <c r="C241" s="218"/>
    </row>
    <row r="242" spans="3:3" x14ac:dyDescent="0.3">
      <c r="C242" s="218"/>
    </row>
    <row r="243" spans="3:3" x14ac:dyDescent="0.3">
      <c r="C243" s="218"/>
    </row>
    <row r="244" spans="3:3" x14ac:dyDescent="0.3">
      <c r="C244" s="218"/>
    </row>
    <row r="245" spans="3:3" x14ac:dyDescent="0.3">
      <c r="C245" s="218"/>
    </row>
    <row r="246" spans="3:3" x14ac:dyDescent="0.3">
      <c r="C246" s="218"/>
    </row>
    <row r="247" spans="3:3" x14ac:dyDescent="0.3">
      <c r="C247" s="218"/>
    </row>
    <row r="248" spans="3:3" x14ac:dyDescent="0.3">
      <c r="C248" s="218"/>
    </row>
    <row r="249" spans="3:3" x14ac:dyDescent="0.3">
      <c r="C249" s="218"/>
    </row>
    <row r="250" spans="3:3" x14ac:dyDescent="0.3">
      <c r="C250" s="218"/>
    </row>
    <row r="251" spans="3:3" x14ac:dyDescent="0.3">
      <c r="C251" s="218"/>
    </row>
    <row r="252" spans="3:3" x14ac:dyDescent="0.3">
      <c r="C252" s="218"/>
    </row>
    <row r="253" spans="3:3" x14ac:dyDescent="0.3">
      <c r="C253" s="218"/>
    </row>
    <row r="254" spans="3:3" x14ac:dyDescent="0.3">
      <c r="C254" s="218"/>
    </row>
    <row r="255" spans="3:3" x14ac:dyDescent="0.3">
      <c r="C255" s="218"/>
    </row>
    <row r="256" spans="3:3" x14ac:dyDescent="0.3">
      <c r="C256" s="218"/>
    </row>
    <row r="257" spans="3:3" x14ac:dyDescent="0.3">
      <c r="C257" s="218"/>
    </row>
    <row r="258" spans="3:3" x14ac:dyDescent="0.3">
      <c r="C258" s="218"/>
    </row>
    <row r="259" spans="3:3" x14ac:dyDescent="0.3">
      <c r="C259" s="218"/>
    </row>
  </sheetData>
  <mergeCells count="161">
    <mergeCell ref="X8:Y8"/>
    <mergeCell ref="Z8:AA8"/>
    <mergeCell ref="F5:G5"/>
    <mergeCell ref="H5:I5"/>
    <mergeCell ref="J5:K5"/>
    <mergeCell ref="L5:M5"/>
    <mergeCell ref="N5:O5"/>
    <mergeCell ref="P5:Q5"/>
    <mergeCell ref="R5:S5"/>
    <mergeCell ref="T5:U5"/>
    <mergeCell ref="V5:W5"/>
    <mergeCell ref="X5:Y5"/>
    <mergeCell ref="Z5:AA5"/>
    <mergeCell ref="AB5:AC5"/>
    <mergeCell ref="F8:G8"/>
    <mergeCell ref="H8:I8"/>
    <mergeCell ref="J8:K8"/>
    <mergeCell ref="L8:M8"/>
    <mergeCell ref="N8:O8"/>
    <mergeCell ref="P8:Q8"/>
    <mergeCell ref="R8:S8"/>
    <mergeCell ref="T8:U8"/>
    <mergeCell ref="V8:W8"/>
    <mergeCell ref="X6:Y6"/>
    <mergeCell ref="Z6:AA6"/>
    <mergeCell ref="AB6:AC6"/>
    <mergeCell ref="F7:G7"/>
    <mergeCell ref="H7:I7"/>
    <mergeCell ref="J7:K7"/>
    <mergeCell ref="L7:M7"/>
    <mergeCell ref="N7:O7"/>
    <mergeCell ref="P7:Q7"/>
    <mergeCell ref="R7:S7"/>
    <mergeCell ref="T7:U7"/>
    <mergeCell ref="V7:W7"/>
    <mergeCell ref="X7:Y7"/>
    <mergeCell ref="Z7:AA7"/>
    <mergeCell ref="AB7:AC7"/>
    <mergeCell ref="F6:G6"/>
    <mergeCell ref="H6:I6"/>
    <mergeCell ref="J6:K6"/>
    <mergeCell ref="L6:M6"/>
    <mergeCell ref="N6:O6"/>
    <mergeCell ref="P6:Q6"/>
    <mergeCell ref="R6:S6"/>
    <mergeCell ref="T6:U6"/>
    <mergeCell ref="V6:W6"/>
    <mergeCell ref="Z3:AA3"/>
    <mergeCell ref="AB3:AC3"/>
    <mergeCell ref="F4:G4"/>
    <mergeCell ref="H4:I4"/>
    <mergeCell ref="J4:K4"/>
    <mergeCell ref="L4:M4"/>
    <mergeCell ref="N4:O4"/>
    <mergeCell ref="P4:Q4"/>
    <mergeCell ref="R4:S4"/>
    <mergeCell ref="T4:U4"/>
    <mergeCell ref="N3:O3"/>
    <mergeCell ref="P3:Q3"/>
    <mergeCell ref="R3:S3"/>
    <mergeCell ref="T3:U3"/>
    <mergeCell ref="V3:W3"/>
    <mergeCell ref="X3:Y3"/>
    <mergeCell ref="F3:G3"/>
    <mergeCell ref="H3:I3"/>
    <mergeCell ref="J3:K3"/>
    <mergeCell ref="L3:M3"/>
    <mergeCell ref="AB8:AC8"/>
    <mergeCell ref="V4:W4"/>
    <mergeCell ref="X4:Y4"/>
    <mergeCell ref="Z4:AA4"/>
    <mergeCell ref="AB4:AC4"/>
    <mergeCell ref="D51:D53"/>
    <mergeCell ref="D61:D63"/>
    <mergeCell ref="D10:D12"/>
    <mergeCell ref="D20:D22"/>
    <mergeCell ref="D29:D31"/>
    <mergeCell ref="D38:D40"/>
    <mergeCell ref="D47:D49"/>
    <mergeCell ref="D57:D59"/>
    <mergeCell ref="D24:D26"/>
    <mergeCell ref="D33:D35"/>
    <mergeCell ref="D42:D44"/>
    <mergeCell ref="D14:D16"/>
    <mergeCell ref="Z18:AA18"/>
    <mergeCell ref="AB18:AC18"/>
    <mergeCell ref="F27:G27"/>
    <mergeCell ref="H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AB27:AC27"/>
    <mergeCell ref="P18:Q18"/>
    <mergeCell ref="R18:S18"/>
    <mergeCell ref="T18:U18"/>
    <mergeCell ref="V18:W18"/>
    <mergeCell ref="X18:Y18"/>
    <mergeCell ref="F18:G18"/>
    <mergeCell ref="H18:I18"/>
    <mergeCell ref="J18:K18"/>
    <mergeCell ref="L18:M18"/>
    <mergeCell ref="N18:O18"/>
    <mergeCell ref="Z36:AA36"/>
    <mergeCell ref="AB36:AC36"/>
    <mergeCell ref="F45:G45"/>
    <mergeCell ref="H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AB45:AC45"/>
    <mergeCell ref="P36:Q36"/>
    <mergeCell ref="R36:S36"/>
    <mergeCell ref="T36:U36"/>
    <mergeCell ref="V36:W36"/>
    <mergeCell ref="X36:Y36"/>
    <mergeCell ref="F36:G36"/>
    <mergeCell ref="H36:I36"/>
    <mergeCell ref="J36:K36"/>
    <mergeCell ref="L36:M36"/>
    <mergeCell ref="N36:O36"/>
    <mergeCell ref="Z55:AA55"/>
    <mergeCell ref="AB55:AC55"/>
    <mergeCell ref="P55:Q55"/>
    <mergeCell ref="R55:S55"/>
    <mergeCell ref="T55:U55"/>
    <mergeCell ref="V55:W55"/>
    <mergeCell ref="X55:Y55"/>
    <mergeCell ref="F55:G55"/>
    <mergeCell ref="H55:I55"/>
    <mergeCell ref="J55:K55"/>
    <mergeCell ref="L55:M55"/>
    <mergeCell ref="N55:O55"/>
    <mergeCell ref="B32:B33"/>
    <mergeCell ref="B35:B36"/>
    <mergeCell ref="B38:B39"/>
    <mergeCell ref="B41:B42"/>
    <mergeCell ref="B44:B45"/>
    <mergeCell ref="B47:B48"/>
    <mergeCell ref="B50:B51"/>
    <mergeCell ref="B2:B3"/>
    <mergeCell ref="B8:B9"/>
    <mergeCell ref="B11:B12"/>
    <mergeCell ref="B14:B15"/>
    <mergeCell ref="B17:B18"/>
    <mergeCell ref="B20:B21"/>
    <mergeCell ref="B23:B24"/>
    <mergeCell ref="B26:B27"/>
    <mergeCell ref="B29:B30"/>
    <mergeCell ref="B5:B6"/>
  </mergeCells>
  <phoneticPr fontId="2" type="noConversion"/>
  <hyperlinks>
    <hyperlink ref="B2" location="Panel!C4" display="HOME" xr:uid="{50167D95-1F79-475D-8ECB-F9377452F955}"/>
    <hyperlink ref="B5" location="Panel!C4" display="HOME" xr:uid="{51D5E17A-1C68-4939-8579-0F0AC7A2511D}"/>
    <hyperlink ref="B17" location="Panel!C4" display="HOME" xr:uid="{D42E7C5D-D120-4220-ACBD-4BCD8A2400EF}"/>
    <hyperlink ref="B20" location="Panel!C4" display="HOME" xr:uid="{3FC97897-D8CA-40C7-A46A-0534935C4AEB}"/>
    <hyperlink ref="B23" location="Panel!C4" display="HOME" xr:uid="{C159319E-916B-4854-88B6-1282AEBF7FC1}"/>
    <hyperlink ref="B5:B6" location="data_formula_legend!A1" display="DATA" xr:uid="{7F301425-F096-4376-A64A-6BAC03B7663D}"/>
    <hyperlink ref="B17:B18" location="day_1!A1" display="DAY 1" xr:uid="{C4D11BD1-07B5-40D8-9219-E334DBFF74C0}"/>
    <hyperlink ref="B8" location="Panel!C4" display="HOME" xr:uid="{FF693803-220D-427F-8B4B-E78D91A1DC8A}"/>
    <hyperlink ref="B8:B9" location="Runsheet!A1" display="RUNSHEET" xr:uid="{804CC85F-9EF0-4583-9D86-8BE745A90F20}"/>
    <hyperlink ref="B20:B21" location="day_2!A1" display="DAY 2" xr:uid="{56335C2F-9C71-443A-AD8C-D0696847D6AA}"/>
    <hyperlink ref="B23:B24" location="day_3!A1" display="DAY 3" xr:uid="{174CFBF6-D7DB-4DD4-A940-C6B1E8D617A9}"/>
    <hyperlink ref="B2:B3" location="HOME!A1" display="HOME" xr:uid="{97D83357-565D-4BF0-B1B9-F170B2EF25DB}"/>
    <hyperlink ref="B26" location="Panel!C4" display="HOME" xr:uid="{2DADBE64-7196-4A5E-86A9-CE3789614EF7}"/>
    <hyperlink ref="B26:B27" location="day_5!A1" display="DAY 4" xr:uid="{9146D2BA-1A25-4F0C-A997-E63A8EC6D530}"/>
    <hyperlink ref="B29" location="Panel!C4" display="HOME" xr:uid="{3EE465FD-ABCF-4D4B-961F-A51E8FD50090}"/>
    <hyperlink ref="B29:B30" location="day_5!A1" display="DAY 5" xr:uid="{5D0311A9-408C-471F-AE55-6AA58BF51EC1}"/>
    <hyperlink ref="B32" location="Panel!C4" display="HOME" xr:uid="{66C4E560-A294-4721-B6FE-8ED4C6344877}"/>
    <hyperlink ref="B32:B33" location="day_6!A1" display="DAY 6" xr:uid="{D6FA191F-ABC4-47D5-8FBA-A19D4DE6D993}"/>
    <hyperlink ref="B14:B15" location="'Food Serves'!A1" display="FOOD SERVES" xr:uid="{AB19A8C9-DDE2-4F5D-B45D-BD79C0A3DB5B}"/>
    <hyperlink ref="B11:B12" location="'Rest Runsheet Food'!A1" display="RESTAURANT RUNSHEET" xr:uid="{EEA0A822-7B04-483F-B9B9-9DAFEFC59F67}"/>
    <hyperlink ref="B14" location="Panel!C4" display="HOME" xr:uid="{7B84332C-C565-447E-BFFA-9D8030C39E73}"/>
    <hyperlink ref="B11" location="Panel!C4" display="HOME" xr:uid="{E1BA54C2-E355-4B92-B289-A62F94586B16}"/>
    <hyperlink ref="B35" location="Panel!C4" display="HOME" xr:uid="{04E81F3D-961E-4611-94D4-8A13AFA7206C}"/>
    <hyperlink ref="B35:B36" location="day_7!A1" display="DAY 7" xr:uid="{29CA5134-0D33-4AD9-A03E-D49691C5E8C1}"/>
    <hyperlink ref="B38" location="Panel!C4" display="HOME" xr:uid="{44847779-BC8C-4937-9E4B-821F861648F4}"/>
    <hyperlink ref="B38:B39" location="day_8!A1" display="DAY 8" xr:uid="{06F6449D-653C-4AB0-9BF6-63832BAB05DE}"/>
    <hyperlink ref="B41" location="Panel!C4" display="HOME" xr:uid="{1AF38DDE-DDBE-49BF-9C6B-71E99376466C}"/>
    <hyperlink ref="B41:B42" location="day_9!A1" display="DAY 9" xr:uid="{F605E059-3EB6-4DD4-ACA6-800ABEA77CD4}"/>
    <hyperlink ref="B44" location="Panel!C4" display="HOME" xr:uid="{53861891-7BF8-42D7-8C0D-3B1D42BEB80C}"/>
    <hyperlink ref="B44:B45" location="day_10!A1" display="DAY 10" xr:uid="{17A9D398-6354-4516-A031-CC65EB54E677}"/>
    <hyperlink ref="B47" location="Panel!C4" display="HOME" xr:uid="{DF367147-0766-44AA-A43A-CA4760C9A39B}"/>
    <hyperlink ref="B47:B48" location="day_11!A1" display="DAY 11" xr:uid="{A31287F4-30D2-4127-A1F1-64D75B2DFF74}"/>
    <hyperlink ref="B50" location="Panel!C4" display="HOME" xr:uid="{65A68131-2CD5-4319-9BC0-7234D39462EF}"/>
    <hyperlink ref="B50:B51" location="day_12!A1" display="DAY 12" xr:uid="{4C20256E-4D88-4E0A-BC7A-7DD85211512D}"/>
  </hyperlinks>
  <pageMargins left="0.23622047244094491" right="0.23622047244094491" top="0.15748031496062992" bottom="0.15748031496062992" header="0" footer="0"/>
  <pageSetup paperSize="9" scale="68" fitToWidth="2" fitToHeight="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37F46-3F70-476D-9051-07B78775EC3E}">
  <sheetPr codeName="Sheet7"/>
  <dimension ref="A1:DC259"/>
  <sheetViews>
    <sheetView zoomScale="85" zoomScaleNormal="85" workbookViewId="0">
      <pane xSplit="3" topLeftCell="D1" activePane="topRight" state="frozen"/>
      <selection pane="topRight" activeCell="B2" sqref="B2:E3"/>
    </sheetView>
  </sheetViews>
  <sheetFormatPr defaultRowHeight="15.6" x14ac:dyDescent="0.3"/>
  <cols>
    <col min="1" max="1" width="1.77734375" style="216" customWidth="1"/>
    <col min="2" max="2" width="15.77734375" style="217" customWidth="1"/>
    <col min="3" max="3" width="1.77734375" style="216" customWidth="1"/>
    <col min="4" max="4" width="18.5546875" customWidth="1"/>
    <col min="5" max="5" width="25.33203125" customWidth="1"/>
    <col min="6" max="6" width="42.5546875" customWidth="1"/>
    <col min="7" max="7" width="25.109375" customWidth="1"/>
    <col min="8" max="8" width="28.88671875" customWidth="1"/>
    <col min="9" max="9" width="15.109375" customWidth="1"/>
    <col min="10" max="10" width="11" customWidth="1"/>
    <col min="11" max="11" width="5.6640625" style="113" customWidth="1"/>
    <col min="12" max="12" width="18.5546875" customWidth="1"/>
    <col min="13" max="13" width="21.77734375" customWidth="1"/>
    <col min="14" max="14" width="32.5546875" customWidth="1"/>
    <col min="15" max="15" width="24.5546875" customWidth="1"/>
    <col min="16" max="16" width="28.88671875" customWidth="1"/>
    <col min="17" max="17" width="15.21875" customWidth="1"/>
    <col min="18" max="18" width="25" customWidth="1"/>
    <col min="19" max="19" width="20.33203125" style="146" customWidth="1"/>
    <col min="20" max="20" width="18.5546875" customWidth="1"/>
    <col min="21" max="21" width="21.77734375" customWidth="1"/>
    <col min="22" max="22" width="31" customWidth="1"/>
    <col min="23" max="23" width="24.5546875" customWidth="1"/>
    <col min="24" max="24" width="28.88671875" customWidth="1"/>
    <col min="25" max="25" width="14.44140625" customWidth="1"/>
    <col min="26" max="26" width="11" customWidth="1"/>
    <col min="27" max="27" width="8.88671875" style="146" customWidth="1"/>
    <col min="28" max="28" width="18.5546875" customWidth="1"/>
    <col min="29" max="29" width="21.77734375" customWidth="1"/>
    <col min="30" max="30" width="26.77734375" customWidth="1"/>
    <col min="31" max="31" width="24.5546875" customWidth="1"/>
    <col min="32" max="32" width="28.88671875" customWidth="1"/>
    <col min="33" max="33" width="14.44140625" customWidth="1"/>
    <col min="34" max="34" width="11" customWidth="1"/>
    <col min="35" max="35" width="8.88671875" style="146" customWidth="1"/>
    <col min="36" max="36" width="18.5546875" customWidth="1"/>
    <col min="37" max="37" width="21.77734375" customWidth="1"/>
    <col min="38" max="38" width="28" customWidth="1"/>
    <col min="39" max="39" width="24.5546875" customWidth="1"/>
    <col min="40" max="40" width="28.88671875" customWidth="1"/>
    <col min="41" max="41" width="23.6640625" customWidth="1"/>
    <col min="42" max="42" width="13.33203125" customWidth="1"/>
    <col min="43" max="43" width="8.88671875" style="146" customWidth="1"/>
    <col min="44" max="44" width="18.5546875" customWidth="1"/>
    <col min="45" max="45" width="21.77734375" customWidth="1"/>
    <col min="46" max="46" width="22.21875" customWidth="1"/>
    <col min="47" max="47" width="24.5546875" customWidth="1"/>
    <col min="48" max="48" width="28.88671875" customWidth="1"/>
    <col min="49" max="49" width="21.44140625" customWidth="1"/>
    <col min="50" max="50" width="11" customWidth="1"/>
    <col min="51" max="51" width="8.88671875" style="146" customWidth="1"/>
    <col min="52" max="52" width="18.5546875" customWidth="1"/>
    <col min="53" max="53" width="21.77734375" customWidth="1"/>
    <col min="54" max="54" width="22.21875" customWidth="1"/>
    <col min="55" max="55" width="24.5546875" customWidth="1"/>
    <col min="56" max="56" width="28.88671875" customWidth="1"/>
    <col min="57" max="57" width="21.44140625" customWidth="1"/>
    <col min="58" max="58" width="11" customWidth="1"/>
    <col min="59" max="59" width="8.88671875" style="146" customWidth="1"/>
    <col min="60" max="60" width="18.5546875" customWidth="1"/>
    <col min="61" max="61" width="21.77734375" customWidth="1"/>
    <col min="62" max="62" width="30.44140625" customWidth="1"/>
    <col min="63" max="63" width="24.5546875" customWidth="1"/>
    <col min="64" max="64" width="28.88671875" customWidth="1"/>
    <col min="65" max="65" width="14.44140625" customWidth="1"/>
    <col min="66" max="66" width="11" customWidth="1"/>
    <col min="67" max="67" width="8.88671875" style="146" customWidth="1"/>
    <col min="68" max="68" width="18.5546875" customWidth="1"/>
    <col min="69" max="69" width="21.77734375" customWidth="1"/>
    <col min="70" max="70" width="21.5546875" customWidth="1"/>
    <col min="71" max="71" width="24.5546875" customWidth="1"/>
    <col min="72" max="72" width="28.88671875" customWidth="1"/>
    <col min="73" max="73" width="18.44140625" customWidth="1"/>
    <col min="74" max="74" width="19.6640625" customWidth="1"/>
    <col min="75" max="75" width="8.88671875" style="146" customWidth="1"/>
    <col min="76" max="76" width="18.5546875" customWidth="1"/>
    <col min="77" max="77" width="21.77734375" customWidth="1"/>
    <col min="78" max="78" width="21.5546875" customWidth="1"/>
    <col min="79" max="79" width="24.5546875" customWidth="1"/>
    <col min="80" max="80" width="28.88671875" customWidth="1"/>
    <col min="81" max="81" width="18.44140625" customWidth="1"/>
    <col min="82" max="82" width="11" customWidth="1"/>
    <col min="83" max="83" width="8.88671875" style="146" customWidth="1"/>
    <col min="84" max="84" width="19.6640625" bestFit="1" customWidth="1"/>
    <col min="85" max="85" width="21.77734375" bestFit="1" customWidth="1"/>
    <col min="86" max="86" width="21.5546875" bestFit="1" customWidth="1"/>
    <col min="87" max="87" width="28.5546875" bestFit="1" customWidth="1"/>
    <col min="88" max="88" width="28.88671875" bestFit="1" customWidth="1"/>
    <col min="89" max="89" width="14.44140625" bestFit="1" customWidth="1"/>
    <col min="90" max="90" width="11" bestFit="1" customWidth="1"/>
    <col min="91" max="91" width="8.88671875" style="146"/>
    <col min="92" max="92" width="18.5546875" bestFit="1" customWidth="1"/>
    <col min="93" max="93" width="21.77734375" bestFit="1" customWidth="1"/>
    <col min="94" max="94" width="21.5546875" bestFit="1" customWidth="1"/>
    <col min="95" max="95" width="24.5546875" bestFit="1" customWidth="1"/>
    <col min="96" max="96" width="28.88671875" bestFit="1" customWidth="1"/>
    <col min="97" max="97" width="14.44140625" bestFit="1" customWidth="1"/>
    <col min="98" max="98" width="11" bestFit="1" customWidth="1"/>
    <col min="99" max="107" width="8.88671875" style="146"/>
  </cols>
  <sheetData>
    <row r="1" spans="1:98" ht="31.8" thickBot="1" x14ac:dyDescent="0.35">
      <c r="A1" s="212"/>
      <c r="B1" s="213"/>
      <c r="C1" s="212"/>
      <c r="D1" s="262" t="s">
        <v>424</v>
      </c>
      <c r="F1" t="s">
        <v>423</v>
      </c>
    </row>
    <row r="2" spans="1:98" s="146" customFormat="1" ht="15" thickTop="1" x14ac:dyDescent="0.3">
      <c r="A2" s="212"/>
      <c r="B2" s="318" t="s">
        <v>264</v>
      </c>
      <c r="C2" s="212"/>
      <c r="D2" s="412" t="s">
        <v>419</v>
      </c>
      <c r="E2" s="412"/>
      <c r="F2" s="148"/>
      <c r="G2" s="149"/>
      <c r="H2" s="148"/>
      <c r="I2" s="148"/>
      <c r="K2" s="113"/>
      <c r="M2" s="148"/>
      <c r="N2" s="148"/>
      <c r="O2" s="148"/>
      <c r="P2" s="148"/>
      <c r="Q2" s="148"/>
      <c r="R2" s="150"/>
      <c r="S2" s="148"/>
      <c r="CF2" s="405" t="s">
        <v>399</v>
      </c>
      <c r="CG2" s="405"/>
      <c r="CH2" s="405"/>
    </row>
    <row r="3" spans="1:98" s="146" customFormat="1" ht="16.8" customHeight="1" thickBot="1" x14ac:dyDescent="0.35">
      <c r="A3" s="212"/>
      <c r="B3" s="319"/>
      <c r="C3" s="212"/>
      <c r="D3" s="147"/>
      <c r="E3" s="151"/>
      <c r="F3" s="151"/>
      <c r="G3" s="149"/>
      <c r="H3" s="148"/>
      <c r="I3" s="148"/>
      <c r="K3" s="113"/>
      <c r="M3" s="148"/>
      <c r="N3" s="148"/>
      <c r="O3" s="148"/>
      <c r="P3" s="148"/>
      <c r="Q3" s="148"/>
      <c r="R3" s="150"/>
      <c r="S3" s="148"/>
    </row>
    <row r="4" spans="1:98" s="146" customFormat="1" ht="15.6" customHeight="1" thickTop="1" thickBot="1" x14ac:dyDescent="0.35">
      <c r="A4" s="212"/>
      <c r="B4" s="213"/>
      <c r="C4" s="212"/>
      <c r="D4" s="147"/>
      <c r="E4" s="148"/>
      <c r="F4" s="148"/>
      <c r="G4" s="149"/>
      <c r="H4" s="148"/>
      <c r="I4" s="148"/>
      <c r="K4" s="113"/>
      <c r="M4" s="151"/>
      <c r="N4" s="151"/>
      <c r="O4" s="151"/>
      <c r="P4" s="151"/>
      <c r="Q4" s="151"/>
      <c r="R4" s="150"/>
      <c r="S4" s="151"/>
    </row>
    <row r="5" spans="1:98" s="146" customFormat="1" thickTop="1" thickBot="1" x14ac:dyDescent="0.35">
      <c r="A5" s="212"/>
      <c r="B5" s="320" t="s">
        <v>247</v>
      </c>
      <c r="C5" s="212"/>
      <c r="D5" s="148"/>
      <c r="E5" s="148"/>
      <c r="F5" s="148"/>
      <c r="G5" s="149"/>
      <c r="H5" s="148"/>
      <c r="I5" s="148"/>
      <c r="K5" s="113"/>
      <c r="M5" s="151"/>
      <c r="N5" s="151"/>
      <c r="O5" s="151"/>
      <c r="P5" s="151"/>
      <c r="Q5" s="151"/>
      <c r="R5" s="150"/>
      <c r="S5" s="151"/>
    </row>
    <row r="6" spans="1:98" ht="24" thickBot="1" x14ac:dyDescent="0.5">
      <c r="A6" s="212"/>
      <c r="B6" s="321"/>
      <c r="C6" s="212"/>
      <c r="D6" s="99" t="s">
        <v>31</v>
      </c>
      <c r="E6" s="438">
        <f>data_formula_legend!E3</f>
        <v>44786</v>
      </c>
      <c r="F6" s="438"/>
      <c r="G6" s="438"/>
      <c r="H6" s="438"/>
      <c r="I6" s="438"/>
      <c r="J6" s="439"/>
      <c r="K6" s="114"/>
      <c r="L6" s="99" t="s">
        <v>31</v>
      </c>
      <c r="M6" s="438">
        <f>E6+1</f>
        <v>44787</v>
      </c>
      <c r="N6" s="438"/>
      <c r="O6" s="438"/>
      <c r="P6" s="438"/>
      <c r="Q6" s="438"/>
      <c r="R6" s="439"/>
      <c r="T6" s="99" t="s">
        <v>31</v>
      </c>
      <c r="U6" s="438">
        <f>M6+1</f>
        <v>44788</v>
      </c>
      <c r="V6" s="438"/>
      <c r="W6" s="438"/>
      <c r="X6" s="438"/>
      <c r="Y6" s="438"/>
      <c r="Z6" s="439"/>
      <c r="AB6" s="99" t="s">
        <v>31</v>
      </c>
      <c r="AC6" s="438">
        <f>U6+1</f>
        <v>44789</v>
      </c>
      <c r="AD6" s="438"/>
      <c r="AE6" s="438"/>
      <c r="AF6" s="438"/>
      <c r="AG6" s="438"/>
      <c r="AH6" s="439"/>
      <c r="AJ6" s="99" t="s">
        <v>31</v>
      </c>
      <c r="AK6" s="438">
        <f>AC6+1</f>
        <v>44790</v>
      </c>
      <c r="AL6" s="438"/>
      <c r="AM6" s="438"/>
      <c r="AN6" s="438"/>
      <c r="AO6" s="438"/>
      <c r="AP6" s="439"/>
      <c r="AR6" s="99" t="s">
        <v>31</v>
      </c>
      <c r="AS6" s="438">
        <f>AK6+1</f>
        <v>44791</v>
      </c>
      <c r="AT6" s="438"/>
      <c r="AU6" s="438"/>
      <c r="AV6" s="438"/>
      <c r="AW6" s="438"/>
      <c r="AX6" s="439"/>
      <c r="AZ6" s="99" t="s">
        <v>31</v>
      </c>
      <c r="BA6" s="438">
        <f>AS6+1</f>
        <v>44792</v>
      </c>
      <c r="BB6" s="438"/>
      <c r="BC6" s="438"/>
      <c r="BD6" s="438"/>
      <c r="BE6" s="438"/>
      <c r="BF6" s="439"/>
      <c r="BH6" s="99" t="s">
        <v>31</v>
      </c>
      <c r="BI6" s="438">
        <f>BA6+1</f>
        <v>44793</v>
      </c>
      <c r="BJ6" s="438"/>
      <c r="BK6" s="438"/>
      <c r="BL6" s="438"/>
      <c r="BM6" s="438"/>
      <c r="BN6" s="439"/>
      <c r="BP6" s="99" t="s">
        <v>31</v>
      </c>
      <c r="BQ6" s="438">
        <f>BI6+1</f>
        <v>44794</v>
      </c>
      <c r="BR6" s="438"/>
      <c r="BS6" s="438"/>
      <c r="BT6" s="438"/>
      <c r="BU6" s="438"/>
      <c r="BV6" s="439"/>
      <c r="BX6" s="99" t="s">
        <v>31</v>
      </c>
      <c r="BY6" s="438">
        <f>BQ6+1</f>
        <v>44795</v>
      </c>
      <c r="BZ6" s="438"/>
      <c r="CA6" s="438"/>
      <c r="CB6" s="438"/>
      <c r="CC6" s="438"/>
      <c r="CD6" s="439"/>
      <c r="CF6" s="99" t="s">
        <v>31</v>
      </c>
      <c r="CG6" s="438">
        <f>BY6+1</f>
        <v>44796</v>
      </c>
      <c r="CH6" s="438"/>
      <c r="CI6" s="438"/>
      <c r="CJ6" s="438"/>
      <c r="CK6" s="438"/>
      <c r="CL6" s="439"/>
      <c r="CN6" s="99" t="s">
        <v>31</v>
      </c>
      <c r="CO6" s="438">
        <f>CG6+1</f>
        <v>44797</v>
      </c>
      <c r="CP6" s="438"/>
      <c r="CQ6" s="438"/>
      <c r="CR6" s="438"/>
      <c r="CS6" s="438"/>
      <c r="CT6" s="439"/>
    </row>
    <row r="7" spans="1:98" ht="24.6" thickTop="1" thickBot="1" x14ac:dyDescent="0.5">
      <c r="A7" s="214"/>
      <c r="B7" s="213"/>
      <c r="C7" s="214"/>
      <c r="D7" s="100" t="s">
        <v>32</v>
      </c>
      <c r="E7" s="440" t="s">
        <v>29</v>
      </c>
      <c r="F7" s="440"/>
      <c r="G7" s="440"/>
      <c r="H7" s="440"/>
      <c r="I7" s="440"/>
      <c r="J7" s="441"/>
      <c r="K7" s="115"/>
      <c r="L7" s="100" t="s">
        <v>32</v>
      </c>
      <c r="M7" s="440" t="s">
        <v>0</v>
      </c>
      <c r="N7" s="440"/>
      <c r="O7" s="440"/>
      <c r="P7" s="440"/>
      <c r="Q7" s="440"/>
      <c r="R7" s="441"/>
      <c r="T7" s="100" t="s">
        <v>32</v>
      </c>
      <c r="U7" s="440" t="s">
        <v>2</v>
      </c>
      <c r="V7" s="440"/>
      <c r="W7" s="440"/>
      <c r="X7" s="440"/>
      <c r="Y7" s="440"/>
      <c r="Z7" s="441"/>
      <c r="AB7" s="100" t="s">
        <v>32</v>
      </c>
      <c r="AC7" s="440" t="s">
        <v>3</v>
      </c>
      <c r="AD7" s="440"/>
      <c r="AE7" s="440"/>
      <c r="AF7" s="440"/>
      <c r="AG7" s="440"/>
      <c r="AH7" s="441"/>
      <c r="AJ7" s="100" t="s">
        <v>32</v>
      </c>
      <c r="AK7" s="440" t="s">
        <v>4</v>
      </c>
      <c r="AL7" s="440"/>
      <c r="AM7" s="440"/>
      <c r="AN7" s="440"/>
      <c r="AO7" s="440"/>
      <c r="AP7" s="441"/>
      <c r="AR7" s="100" t="s">
        <v>32</v>
      </c>
      <c r="AS7" s="440" t="s">
        <v>5</v>
      </c>
      <c r="AT7" s="440"/>
      <c r="AU7" s="440"/>
      <c r="AV7" s="440"/>
      <c r="AW7" s="440"/>
      <c r="AX7" s="441"/>
      <c r="AZ7" s="100" t="s">
        <v>32</v>
      </c>
      <c r="BA7" s="440" t="s">
        <v>6</v>
      </c>
      <c r="BB7" s="440"/>
      <c r="BC7" s="440"/>
      <c r="BD7" s="440"/>
      <c r="BE7" s="440"/>
      <c r="BF7" s="441"/>
      <c r="BH7" s="100" t="s">
        <v>32</v>
      </c>
      <c r="BI7" s="440" t="s">
        <v>7</v>
      </c>
      <c r="BJ7" s="440"/>
      <c r="BK7" s="440"/>
      <c r="BL7" s="440"/>
      <c r="BM7" s="440"/>
      <c r="BN7" s="441"/>
      <c r="BP7" s="100" t="s">
        <v>32</v>
      </c>
      <c r="BQ7" s="440" t="s">
        <v>8</v>
      </c>
      <c r="BR7" s="440"/>
      <c r="BS7" s="440"/>
      <c r="BT7" s="440"/>
      <c r="BU7" s="440"/>
      <c r="BV7" s="441"/>
      <c r="BX7" s="100" t="s">
        <v>32</v>
      </c>
      <c r="BY7" s="440" t="s">
        <v>15</v>
      </c>
      <c r="BZ7" s="440"/>
      <c r="CA7" s="440"/>
      <c r="CB7" s="440"/>
      <c r="CC7" s="440"/>
      <c r="CD7" s="441"/>
      <c r="CF7" s="100" t="s">
        <v>32</v>
      </c>
      <c r="CG7" s="440" t="s">
        <v>16</v>
      </c>
      <c r="CH7" s="440"/>
      <c r="CI7" s="440"/>
      <c r="CJ7" s="440"/>
      <c r="CK7" s="440"/>
      <c r="CL7" s="441"/>
      <c r="CN7" s="100" t="s">
        <v>32</v>
      </c>
      <c r="CO7" s="440" t="s">
        <v>30</v>
      </c>
      <c r="CP7" s="440"/>
      <c r="CQ7" s="440"/>
      <c r="CR7" s="440"/>
      <c r="CS7" s="440"/>
      <c r="CT7" s="441"/>
    </row>
    <row r="8" spans="1:98" ht="24.6" thickTop="1" thickBot="1" x14ac:dyDescent="0.5">
      <c r="A8" s="212"/>
      <c r="B8" s="318" t="s">
        <v>265</v>
      </c>
      <c r="C8" s="212"/>
      <c r="D8" s="126"/>
      <c r="E8" s="470" t="s">
        <v>208</v>
      </c>
      <c r="F8" s="470"/>
      <c r="G8" s="470"/>
      <c r="H8" s="470"/>
      <c r="I8" s="470"/>
      <c r="J8" s="471"/>
      <c r="K8" s="116"/>
      <c r="L8" s="126"/>
      <c r="M8" s="442" t="s">
        <v>208</v>
      </c>
      <c r="N8" s="442"/>
      <c r="O8" s="442"/>
      <c r="P8" s="442"/>
      <c r="Q8" s="442"/>
      <c r="R8" s="443"/>
      <c r="T8" s="126"/>
      <c r="U8" s="442" t="s">
        <v>208</v>
      </c>
      <c r="V8" s="442"/>
      <c r="W8" s="442"/>
      <c r="X8" s="442"/>
      <c r="Y8" s="442"/>
      <c r="Z8" s="443"/>
      <c r="AB8" s="126"/>
      <c r="AC8" s="442" t="s">
        <v>208</v>
      </c>
      <c r="AD8" s="442"/>
      <c r="AE8" s="442"/>
      <c r="AF8" s="442"/>
      <c r="AG8" s="442"/>
      <c r="AH8" s="443"/>
      <c r="AJ8" s="126"/>
      <c r="AK8" s="442" t="s">
        <v>208</v>
      </c>
      <c r="AL8" s="442"/>
      <c r="AM8" s="442"/>
      <c r="AN8" s="442"/>
      <c r="AO8" s="442"/>
      <c r="AP8" s="443"/>
      <c r="AR8" s="126"/>
      <c r="AS8" s="442" t="s">
        <v>208</v>
      </c>
      <c r="AT8" s="442"/>
      <c r="AU8" s="442"/>
      <c r="AV8" s="442"/>
      <c r="AW8" s="442"/>
      <c r="AX8" s="443"/>
      <c r="AZ8" s="126"/>
      <c r="BA8" s="442" t="s">
        <v>208</v>
      </c>
      <c r="BB8" s="442"/>
      <c r="BC8" s="442"/>
      <c r="BD8" s="442"/>
      <c r="BE8" s="442"/>
      <c r="BF8" s="443"/>
      <c r="BH8" s="126"/>
      <c r="BI8" s="442" t="s">
        <v>208</v>
      </c>
      <c r="BJ8" s="442"/>
      <c r="BK8" s="442"/>
      <c r="BL8" s="442"/>
      <c r="BM8" s="442"/>
      <c r="BN8" s="443"/>
      <c r="BP8" s="126"/>
      <c r="BQ8" s="442" t="s">
        <v>208</v>
      </c>
      <c r="BR8" s="442"/>
      <c r="BS8" s="442"/>
      <c r="BT8" s="442"/>
      <c r="BU8" s="442"/>
      <c r="BV8" s="443"/>
      <c r="BX8" s="126"/>
      <c r="BY8" s="442" t="s">
        <v>208</v>
      </c>
      <c r="BZ8" s="442"/>
      <c r="CA8" s="442"/>
      <c r="CB8" s="442"/>
      <c r="CC8" s="442"/>
      <c r="CD8" s="443"/>
      <c r="CF8" s="126"/>
      <c r="CG8" s="442" t="s">
        <v>208</v>
      </c>
      <c r="CH8" s="442"/>
      <c r="CI8" s="442"/>
      <c r="CJ8" s="442"/>
      <c r="CK8" s="442"/>
      <c r="CL8" s="443"/>
      <c r="CN8" s="126"/>
      <c r="CO8" s="442" t="s">
        <v>208</v>
      </c>
      <c r="CP8" s="442"/>
      <c r="CQ8" s="442"/>
      <c r="CR8" s="442"/>
      <c r="CS8" s="442"/>
      <c r="CT8" s="443"/>
    </row>
    <row r="9" spans="1:98" ht="15" customHeight="1" thickBot="1" x14ac:dyDescent="0.35">
      <c r="A9" s="212"/>
      <c r="B9" s="319"/>
      <c r="C9" s="215"/>
      <c r="D9" s="19"/>
      <c r="E9" s="104" t="s">
        <v>169</v>
      </c>
      <c r="F9" s="105" t="s">
        <v>174</v>
      </c>
      <c r="G9" s="106" t="s">
        <v>170</v>
      </c>
      <c r="H9" s="105" t="s">
        <v>175</v>
      </c>
      <c r="I9" s="107" t="s">
        <v>178</v>
      </c>
      <c r="J9" s="21"/>
      <c r="L9" s="19"/>
      <c r="M9" s="104" t="s">
        <v>169</v>
      </c>
      <c r="N9" s="105" t="s">
        <v>174</v>
      </c>
      <c r="O9" s="106" t="s">
        <v>170</v>
      </c>
      <c r="P9" s="105" t="s">
        <v>175</v>
      </c>
      <c r="Q9" s="107" t="s">
        <v>178</v>
      </c>
      <c r="R9" s="21"/>
      <c r="T9" s="19"/>
      <c r="U9" s="104" t="s">
        <v>169</v>
      </c>
      <c r="V9" s="105" t="s">
        <v>174</v>
      </c>
      <c r="W9" s="106" t="s">
        <v>170</v>
      </c>
      <c r="X9" s="105" t="s">
        <v>175</v>
      </c>
      <c r="Y9" s="107" t="s">
        <v>178</v>
      </c>
      <c r="Z9" s="21"/>
      <c r="AB9" s="19"/>
      <c r="AC9" s="104" t="s">
        <v>169</v>
      </c>
      <c r="AD9" s="105" t="s">
        <v>174</v>
      </c>
      <c r="AE9" s="106" t="s">
        <v>170</v>
      </c>
      <c r="AF9" s="105" t="s">
        <v>175</v>
      </c>
      <c r="AG9" s="107" t="s">
        <v>178</v>
      </c>
      <c r="AH9" s="21"/>
      <c r="AJ9" s="19"/>
      <c r="AK9" s="104" t="s">
        <v>169</v>
      </c>
      <c r="AL9" s="105" t="s">
        <v>174</v>
      </c>
      <c r="AM9" s="106" t="s">
        <v>170</v>
      </c>
      <c r="AN9" s="105" t="s">
        <v>175</v>
      </c>
      <c r="AO9" s="107" t="s">
        <v>178</v>
      </c>
      <c r="AP9" s="21"/>
      <c r="AR9" s="19"/>
      <c r="AS9" s="104" t="s">
        <v>169</v>
      </c>
      <c r="AT9" s="105" t="s">
        <v>174</v>
      </c>
      <c r="AU9" s="106" t="s">
        <v>170</v>
      </c>
      <c r="AV9" s="105" t="s">
        <v>175</v>
      </c>
      <c r="AW9" s="107" t="s">
        <v>178</v>
      </c>
      <c r="AX9" s="21"/>
      <c r="AZ9" s="19"/>
      <c r="BA9" s="104" t="s">
        <v>169</v>
      </c>
      <c r="BB9" s="105" t="s">
        <v>174</v>
      </c>
      <c r="BC9" s="106" t="s">
        <v>170</v>
      </c>
      <c r="BD9" s="105" t="s">
        <v>175</v>
      </c>
      <c r="BE9" s="107" t="s">
        <v>178</v>
      </c>
      <c r="BF9" s="21"/>
      <c r="BH9" s="19"/>
      <c r="BI9" s="104" t="s">
        <v>169</v>
      </c>
      <c r="BJ9" s="105" t="s">
        <v>174</v>
      </c>
      <c r="BK9" s="106" t="s">
        <v>170</v>
      </c>
      <c r="BL9" s="105" t="s">
        <v>175</v>
      </c>
      <c r="BM9" s="107" t="s">
        <v>178</v>
      </c>
      <c r="BN9" s="21"/>
      <c r="BP9" s="19"/>
      <c r="BQ9" s="104" t="s">
        <v>169</v>
      </c>
      <c r="BR9" s="105" t="s">
        <v>174</v>
      </c>
      <c r="BS9" s="106" t="s">
        <v>170</v>
      </c>
      <c r="BT9" s="105" t="s">
        <v>175</v>
      </c>
      <c r="BU9" s="107" t="s">
        <v>178</v>
      </c>
      <c r="BV9" s="21"/>
      <c r="BX9" s="19"/>
      <c r="BY9" s="104" t="s">
        <v>169</v>
      </c>
      <c r="BZ9" s="105" t="s">
        <v>174</v>
      </c>
      <c r="CA9" s="106" t="s">
        <v>170</v>
      </c>
      <c r="CB9" s="105" t="s">
        <v>175</v>
      </c>
      <c r="CC9" s="107" t="s">
        <v>178</v>
      </c>
      <c r="CD9" s="21"/>
      <c r="CF9" s="19"/>
      <c r="CG9" s="104" t="s">
        <v>169</v>
      </c>
      <c r="CH9" s="105" t="s">
        <v>174</v>
      </c>
      <c r="CI9" s="106" t="s">
        <v>170</v>
      </c>
      <c r="CJ9" s="105" t="s">
        <v>175</v>
      </c>
      <c r="CK9" s="107" t="s">
        <v>178</v>
      </c>
      <c r="CL9" s="21"/>
      <c r="CN9" s="19"/>
      <c r="CO9" s="104" t="s">
        <v>169</v>
      </c>
      <c r="CP9" s="105" t="s">
        <v>174</v>
      </c>
      <c r="CQ9" s="106" t="s">
        <v>170</v>
      </c>
      <c r="CR9" s="105" t="s">
        <v>175</v>
      </c>
      <c r="CS9" s="107" t="s">
        <v>178</v>
      </c>
      <c r="CT9" s="21"/>
    </row>
    <row r="10" spans="1:98" ht="34.799999999999997" customHeight="1" thickTop="1" thickBot="1" x14ac:dyDescent="0.35">
      <c r="A10" s="212"/>
      <c r="B10" s="213"/>
      <c r="C10" s="215"/>
      <c r="D10" s="100" t="s">
        <v>166</v>
      </c>
      <c r="E10" s="69" t="str">
        <f>data_formula_legend!E65</f>
        <v>Mena Creek Flower House</v>
      </c>
      <c r="F10" s="66" t="str">
        <f>data_formula_legend!F65</f>
        <v>546 Utchee Creek Rd, Mena Creek QLD 4871</v>
      </c>
      <c r="G10" s="68">
        <f>data_formula_legend!G65</f>
        <v>2</v>
      </c>
      <c r="H10" s="2">
        <f>data_formula_legend!H65</f>
        <v>0</v>
      </c>
      <c r="I10" s="70" t="str">
        <f>data_formula_legend!I65</f>
        <v>(07) 4065 3409</v>
      </c>
      <c r="J10" s="21"/>
      <c r="L10" s="100" t="s">
        <v>166</v>
      </c>
      <c r="M10" s="67" t="str">
        <f>data_formula_legend!E72</f>
        <v>Chillagoe Cabins</v>
      </c>
      <c r="N10" s="67" t="str">
        <f>data_formula_legend!F72</f>
        <v>69-71 Queen St, Chillagoe QLD 4871</v>
      </c>
      <c r="O10" s="67">
        <f>data_formula_legend!G72</f>
        <v>2</v>
      </c>
      <c r="P10" s="2">
        <f>data_formula_legend!O65</f>
        <v>0</v>
      </c>
      <c r="Q10" s="2" t="str">
        <f>data_formula_legend!I72</f>
        <v>(07) 4094 7206</v>
      </c>
      <c r="R10" s="21"/>
      <c r="T10" s="100" t="s">
        <v>166</v>
      </c>
      <c r="U10" s="67" t="str">
        <f>data_formula_legend!E78</f>
        <v>Ferntrees</v>
      </c>
      <c r="V10" s="67" t="str">
        <f>data_formula_legend!F78</f>
        <v>36 Camelot Close Cape Tribulation</v>
      </c>
      <c r="W10" s="67">
        <f>data_formula_legend!G78</f>
        <v>7</v>
      </c>
      <c r="X10" s="67">
        <f>data_formula_legend!H78</f>
        <v>0</v>
      </c>
      <c r="Y10" s="67">
        <f>data_formula_legend!I78</f>
        <v>740980000</v>
      </c>
      <c r="Z10" s="21"/>
      <c r="AB10" s="100" t="s">
        <v>166</v>
      </c>
      <c r="AC10" s="67" t="str">
        <f>data_formula_legend!E84</f>
        <v>Milkwood Lodge</v>
      </c>
      <c r="AD10" s="77" t="str">
        <f>data_formula_legend!F84</f>
        <v>Annan Rd, Cooktown QLD 4895</v>
      </c>
      <c r="AE10" s="67">
        <f>data_formula_legend!G84</f>
        <v>4</v>
      </c>
      <c r="AF10" s="67">
        <f>data_formula_legend!H84</f>
        <v>0</v>
      </c>
      <c r="AG10" s="67" t="str">
        <f>data_formula_legend!I84</f>
        <v>(07) 4069 5007</v>
      </c>
      <c r="AH10" s="21"/>
      <c r="AJ10" s="100" t="s">
        <v>166</v>
      </c>
      <c r="AK10" s="67" t="str">
        <f>data_formula_legend!E90</f>
        <v>Wildwishes</v>
      </c>
      <c r="AL10" s="77" t="str">
        <f>data_formula_legend!F90</f>
        <v>Wolverton Station, Archer River QLD 4892</v>
      </c>
      <c r="AM10" s="67">
        <f>data_formula_legend!G90</f>
        <v>10</v>
      </c>
      <c r="AN10" s="67">
        <f>data_formula_legend!H90</f>
        <v>0</v>
      </c>
      <c r="AO10" s="67">
        <f>data_formula_legend!I90</f>
        <v>429175980</v>
      </c>
      <c r="AP10" s="21"/>
      <c r="AR10" s="100" t="s">
        <v>166</v>
      </c>
      <c r="AS10" s="67" t="str">
        <f>data_formula_legend!E96</f>
        <v>GreenHoose</v>
      </c>
      <c r="AT10" s="77" t="str">
        <f>data_formula_legend!F96</f>
        <v>161 Lockhart River Rd, Lockhart River QLD 4892</v>
      </c>
      <c r="AU10" s="77">
        <f>data_formula_legend!G96</f>
        <v>7</v>
      </c>
      <c r="AV10" s="77">
        <f>data_formula_legend!H96</f>
        <v>0</v>
      </c>
      <c r="AW10" s="77" t="str">
        <f>data_formula_legend!I96</f>
        <v>(07) 4060 7067</v>
      </c>
      <c r="AX10" s="21"/>
      <c r="AZ10" s="100" t="s">
        <v>166</v>
      </c>
      <c r="BA10" s="67" t="str">
        <f>data_formula_legend!E103</f>
        <v>GreenHoose</v>
      </c>
      <c r="BB10" s="77" t="str">
        <f>data_formula_legend!F103</f>
        <v>161 Lockhart River Rd, Lockhart River QLD 4892</v>
      </c>
      <c r="BC10" s="67">
        <f>data_formula_legend!G103</f>
        <v>7</v>
      </c>
      <c r="BD10" s="67">
        <f>data_formula_legend!H103</f>
        <v>0</v>
      </c>
      <c r="BE10" s="67" t="str">
        <f>data_formula_legend!I103</f>
        <v>(07) 4060 7067</v>
      </c>
      <c r="BF10" s="21"/>
      <c r="BH10" s="100" t="s">
        <v>166</v>
      </c>
      <c r="BI10" s="67" t="str">
        <f>data_formula_legend!E110</f>
        <v>Bramwell Station</v>
      </c>
      <c r="BJ10" s="67" t="str">
        <f>data_formula_legend!F110</f>
        <v>Bramwell Jct, Shelburne QLD 4874</v>
      </c>
      <c r="BK10" s="67">
        <f>data_formula_legend!G110</f>
        <v>7</v>
      </c>
      <c r="BL10" s="67">
        <f>data_formula_legend!H110</f>
        <v>0</v>
      </c>
      <c r="BM10" s="67" t="str">
        <f>data_formula_legend!I110</f>
        <v>07 4060 3230</v>
      </c>
      <c r="BN10" s="21"/>
      <c r="BP10" s="100" t="s">
        <v>166</v>
      </c>
      <c r="BQ10" s="67" t="str">
        <f>data_formula_legend!E118</f>
        <v>Punsand Bay</v>
      </c>
      <c r="BR10" s="77" t="str">
        <f>data_formula_legend!F118</f>
        <v>Lot 11 Punsand Bay via Bamaga QLD 4876</v>
      </c>
      <c r="BS10" s="67">
        <f>data_formula_legend!G118</f>
        <v>7</v>
      </c>
      <c r="BT10" s="67">
        <f>data_formula_legend!H118</f>
        <v>0</v>
      </c>
      <c r="BU10" s="67" t="str">
        <f>data_formula_legend!I118</f>
        <v>(07) 4069 1722</v>
      </c>
      <c r="BV10" s="21"/>
      <c r="BX10" s="100" t="s">
        <v>166</v>
      </c>
      <c r="BY10" s="67" t="str">
        <f>data_formula_legend!E125</f>
        <v>Punsand Bay</v>
      </c>
      <c r="BZ10" s="77" t="str">
        <f>data_formula_legend!F125</f>
        <v>Lot 11 Punsand Bay via Bamaga QLD 4876</v>
      </c>
      <c r="CA10" s="67">
        <f>data_formula_legend!G125</f>
        <v>7</v>
      </c>
      <c r="CB10" s="67">
        <f>data_formula_legend!H125</f>
        <v>0</v>
      </c>
      <c r="CC10" s="67" t="str">
        <f>data_formula_legend!I125</f>
        <v>(07) 4069 1722</v>
      </c>
      <c r="CD10" s="21"/>
      <c r="CF10" s="100" t="s">
        <v>166</v>
      </c>
      <c r="CG10" s="67" t="str">
        <f>data_formula_legend!E132</f>
        <v>Cairns Sheridan Hotel</v>
      </c>
      <c r="CH10" s="77" t="str">
        <f>data_formula_legend!F132</f>
        <v>295 Sheridan St, Cairns City QLD 4870</v>
      </c>
      <c r="CI10" s="67">
        <f>data_formula_legend!G132</f>
        <v>6</v>
      </c>
      <c r="CJ10" s="67">
        <f>data_formula_legend!H132</f>
        <v>0</v>
      </c>
      <c r="CK10" s="67" t="str">
        <f>data_formula_legend!I132</f>
        <v>(07) 4255 9000</v>
      </c>
      <c r="CL10" s="21"/>
      <c r="CN10" s="100" t="s">
        <v>166</v>
      </c>
      <c r="CO10" s="67">
        <f>data_formula_legend!AC118</f>
        <v>0</v>
      </c>
      <c r="CP10" s="67">
        <f>data_formula_legend!AD118</f>
        <v>0</v>
      </c>
      <c r="CQ10" s="67">
        <f>data_formula_legend!AE118</f>
        <v>0</v>
      </c>
      <c r="CR10" s="67">
        <f>data_formula_legend!AF118</f>
        <v>0</v>
      </c>
      <c r="CS10" s="67">
        <f>data_formula_legend!AG118</f>
        <v>0</v>
      </c>
      <c r="CT10" s="21"/>
    </row>
    <row r="11" spans="1:98" ht="29.4" thickTop="1" x14ac:dyDescent="0.3">
      <c r="A11" s="212"/>
      <c r="B11" s="318" t="s">
        <v>511</v>
      </c>
      <c r="C11" s="215"/>
      <c r="D11" s="100" t="s">
        <v>167</v>
      </c>
      <c r="E11" s="69" t="str">
        <f>data_formula_legend!E66</f>
        <v>Paronella Park Cabin</v>
      </c>
      <c r="F11" s="66" t="str">
        <f>data_formula_legend!F66</f>
        <v>1671 Innisfail Japoon Rd, Mena Creek QLD 4871</v>
      </c>
      <c r="G11" s="68">
        <f>data_formula_legend!G66</f>
        <v>5</v>
      </c>
      <c r="H11" s="2">
        <f>data_formula_legend!H66</f>
        <v>0</v>
      </c>
      <c r="I11" s="70"/>
      <c r="J11" s="21"/>
      <c r="L11" s="100" t="s">
        <v>167</v>
      </c>
      <c r="M11" s="67" t="str">
        <f>data_formula_legend!E73</f>
        <v>Chillagoe Ecolodge</v>
      </c>
      <c r="N11" s="67" t="str">
        <f>data_formula_legend!F73</f>
        <v>1 Hospital Ave, Chillagoe QLD 4871</v>
      </c>
      <c r="O11" s="67">
        <f>data_formula_legend!G73</f>
        <v>4</v>
      </c>
      <c r="P11" s="2">
        <f>data_formula_legend!O66</f>
        <v>0</v>
      </c>
      <c r="Q11" s="2" t="str">
        <f>data_formula_legend!I73</f>
        <v> (07) 4094 7155</v>
      </c>
      <c r="R11" s="21"/>
      <c r="T11" s="100" t="s">
        <v>167</v>
      </c>
      <c r="U11" s="67" t="str">
        <f>data_formula_legend!E79</f>
        <v>A None</v>
      </c>
      <c r="V11" s="67">
        <f>data_formula_legend!F79</f>
        <v>0</v>
      </c>
      <c r="W11" s="67">
        <f>data_formula_legend!G79</f>
        <v>4</v>
      </c>
      <c r="X11" s="67">
        <f>data_formula_legend!H79</f>
        <v>0</v>
      </c>
      <c r="Y11" s="67">
        <f>data_formula_legend!I79</f>
        <v>0</v>
      </c>
      <c r="Z11" s="21"/>
      <c r="AB11" s="100" t="s">
        <v>167</v>
      </c>
      <c r="AC11" s="67" t="str">
        <f>data_formula_legend!E85</f>
        <v>River of Gold Motel</v>
      </c>
      <c r="AD11" s="77" t="str">
        <f>data_formula_legend!F85</f>
        <v xml:space="preserve"> Hope St &amp; Walker Streets, Cooktown QLD 4895</v>
      </c>
      <c r="AE11" s="67">
        <f>data_formula_legend!G85</f>
        <v>4</v>
      </c>
      <c r="AF11" s="67">
        <f>data_formula_legend!H85</f>
        <v>0</v>
      </c>
      <c r="AG11" s="67" t="str">
        <f>data_formula_legend!I85</f>
        <v>(07) 4069 5222</v>
      </c>
      <c r="AH11" s="21"/>
      <c r="AJ11" s="100" t="s">
        <v>167</v>
      </c>
      <c r="AK11" s="67" t="str">
        <f>data_formula_legend!E91</f>
        <v>A None</v>
      </c>
      <c r="AL11" s="67">
        <f>data_formula_legend!F91</f>
        <v>0</v>
      </c>
      <c r="AM11" s="67">
        <f>data_formula_legend!G91</f>
        <v>0</v>
      </c>
      <c r="AN11" s="67">
        <f>data_formula_legend!H91</f>
        <v>0</v>
      </c>
      <c r="AO11" s="67">
        <f>data_formula_legend!I91</f>
        <v>0</v>
      </c>
      <c r="AP11" s="21"/>
      <c r="AR11" s="100" t="s">
        <v>167</v>
      </c>
      <c r="AS11" s="67" t="str">
        <f>data_formula_legend!E97</f>
        <v>A None</v>
      </c>
      <c r="AT11" s="77">
        <f>data_formula_legend!F97</f>
        <v>0</v>
      </c>
      <c r="AU11" s="77">
        <f>data_formula_legend!G97</f>
        <v>0</v>
      </c>
      <c r="AV11" s="77">
        <f>data_formula_legend!H97</f>
        <v>0</v>
      </c>
      <c r="AW11" s="77">
        <f>data_formula_legend!I97</f>
        <v>0</v>
      </c>
      <c r="AX11" s="21"/>
      <c r="AZ11" s="100" t="s">
        <v>167</v>
      </c>
      <c r="BA11" s="67" t="str">
        <f>data_formula_legend!E104</f>
        <v>A None</v>
      </c>
      <c r="BB11" s="77">
        <f>data_formula_legend!F104</f>
        <v>0</v>
      </c>
      <c r="BC11" s="67">
        <f>data_formula_legend!G104</f>
        <v>0</v>
      </c>
      <c r="BD11" s="67">
        <f>data_formula_legend!H104</f>
        <v>0</v>
      </c>
      <c r="BE11" s="67">
        <f>data_formula_legend!I104</f>
        <v>0</v>
      </c>
      <c r="BF11" s="21"/>
      <c r="BH11" s="100" t="s">
        <v>167</v>
      </c>
      <c r="BI11" s="67" t="str">
        <f>data_formula_legend!E111</f>
        <v>A None</v>
      </c>
      <c r="BJ11" s="67">
        <f>data_formula_legend!F111</f>
        <v>0</v>
      </c>
      <c r="BK11" s="67">
        <f>data_formula_legend!G111</f>
        <v>0</v>
      </c>
      <c r="BL11" s="67">
        <f>data_formula_legend!H111</f>
        <v>0</v>
      </c>
      <c r="BM11" s="67">
        <f>data_formula_legend!I111</f>
        <v>0</v>
      </c>
      <c r="BN11" s="21"/>
      <c r="BP11" s="100" t="s">
        <v>167</v>
      </c>
      <c r="BQ11" s="67" t="str">
        <f>data_formula_legend!E119</f>
        <v>A None</v>
      </c>
      <c r="BR11" s="67">
        <f>data_formula_legend!F119</f>
        <v>0</v>
      </c>
      <c r="BS11" s="67">
        <f>data_formula_legend!G119</f>
        <v>0</v>
      </c>
      <c r="BT11" s="67">
        <f>data_formula_legend!H119</f>
        <v>0</v>
      </c>
      <c r="BU11" s="67">
        <f>data_formula_legend!I119</f>
        <v>0</v>
      </c>
      <c r="BV11" s="21"/>
      <c r="BX11" s="100" t="s">
        <v>167</v>
      </c>
      <c r="BY11" s="67" t="str">
        <f>data_formula_legend!E126</f>
        <v>A None</v>
      </c>
      <c r="BZ11" s="77">
        <f>data_formula_legend!F126</f>
        <v>0</v>
      </c>
      <c r="CA11" s="67">
        <f>data_formula_legend!G126</f>
        <v>0</v>
      </c>
      <c r="CB11" s="67">
        <f>data_formula_legend!H126</f>
        <v>0</v>
      </c>
      <c r="CC11" s="67">
        <f>data_formula_legend!I126</f>
        <v>0</v>
      </c>
      <c r="CD11" s="21"/>
      <c r="CF11" s="100" t="s">
        <v>167</v>
      </c>
      <c r="CG11" s="67" t="str">
        <f>data_formula_legend!E133</f>
        <v>A None</v>
      </c>
      <c r="CH11" s="67">
        <f>data_formula_legend!F133</f>
        <v>0</v>
      </c>
      <c r="CI11" s="67">
        <f>data_formula_legend!G133</f>
        <v>0</v>
      </c>
      <c r="CJ11" s="67">
        <f>data_formula_legend!H133</f>
        <v>0</v>
      </c>
      <c r="CK11" s="67">
        <f>data_formula_legend!I133</f>
        <v>0</v>
      </c>
      <c r="CL11" s="21"/>
      <c r="CN11" s="100" t="s">
        <v>167</v>
      </c>
      <c r="CO11" s="67">
        <f>data_formula_legend!AC119</f>
        <v>0</v>
      </c>
      <c r="CP11" s="67">
        <f>data_formula_legend!AD119</f>
        <v>0</v>
      </c>
      <c r="CQ11" s="67">
        <f>data_formula_legend!AE119</f>
        <v>0</v>
      </c>
      <c r="CR11" s="67">
        <f>data_formula_legend!AF119</f>
        <v>0</v>
      </c>
      <c r="CS11" s="67">
        <f>data_formula_legend!AG119</f>
        <v>0</v>
      </c>
      <c r="CT11" s="21"/>
    </row>
    <row r="12" spans="1:98" ht="29.4" customHeight="1" thickBot="1" x14ac:dyDescent="0.35">
      <c r="A12" s="212"/>
      <c r="B12" s="319"/>
      <c r="C12" s="215"/>
      <c r="D12" s="100" t="s">
        <v>168</v>
      </c>
      <c r="E12" s="69" t="str">
        <f>data_formula_legend!E67</f>
        <v>Mena Creek Hotel</v>
      </c>
      <c r="F12" s="66" t="str">
        <f>data_formula_legend!F67</f>
        <v>1 Mena Creek Rd, Mena Creek QLD 4871</v>
      </c>
      <c r="G12" s="68">
        <f>data_formula_legend!G67</f>
        <v>1</v>
      </c>
      <c r="H12" s="2">
        <f>data_formula_legend!H67</f>
        <v>0</v>
      </c>
      <c r="I12" s="70"/>
      <c r="J12" s="21"/>
      <c r="L12" s="100" t="s">
        <v>168</v>
      </c>
      <c r="M12" s="67" t="str">
        <f>data_formula_legend!E74</f>
        <v>Cockatoo Hotel</v>
      </c>
      <c r="N12" s="67" t="str">
        <f>data_formula_legend!F74</f>
        <v>2 Tower St, Chillagoe QLD 4871</v>
      </c>
      <c r="O12" s="67">
        <f>data_formula_legend!G74</f>
        <v>1</v>
      </c>
      <c r="P12" s="2">
        <f>data_formula_legend!O67</f>
        <v>0</v>
      </c>
      <c r="Q12" s="2" t="str">
        <f>data_formula_legend!I74</f>
        <v>(07) 4094 7168</v>
      </c>
      <c r="R12" s="21"/>
      <c r="T12" s="100" t="s">
        <v>168</v>
      </c>
      <c r="U12" s="67" t="str">
        <f>data_formula_legend!E80</f>
        <v>A None</v>
      </c>
      <c r="V12" s="67">
        <f>data_formula_legend!F80</f>
        <v>0</v>
      </c>
      <c r="W12" s="67">
        <f>data_formula_legend!G80</f>
        <v>0</v>
      </c>
      <c r="X12" s="67">
        <f>data_formula_legend!H80</f>
        <v>0</v>
      </c>
      <c r="Y12" s="67">
        <f>data_formula_legend!I80</f>
        <v>0</v>
      </c>
      <c r="Z12" s="21"/>
      <c r="AB12" s="100" t="s">
        <v>168</v>
      </c>
      <c r="AC12" s="67" t="str">
        <f>data_formula_legend!E86</f>
        <v>A None</v>
      </c>
      <c r="AD12" s="77">
        <f>data_formula_legend!F86</f>
        <v>0</v>
      </c>
      <c r="AE12" s="67">
        <f>data_formula_legend!G86</f>
        <v>0</v>
      </c>
      <c r="AF12" s="67">
        <f>data_formula_legend!H86</f>
        <v>0</v>
      </c>
      <c r="AG12" s="67">
        <f>data_formula_legend!I86</f>
        <v>0</v>
      </c>
      <c r="AH12" s="21"/>
      <c r="AJ12" s="100" t="s">
        <v>168</v>
      </c>
      <c r="AK12" s="67" t="str">
        <f>data_formula_legend!E92</f>
        <v>A None</v>
      </c>
      <c r="AL12" s="67">
        <f>data_formula_legend!F92</f>
        <v>0</v>
      </c>
      <c r="AM12" s="67">
        <f>data_formula_legend!G92</f>
        <v>0</v>
      </c>
      <c r="AN12" s="67">
        <f>data_formula_legend!H92</f>
        <v>0</v>
      </c>
      <c r="AO12" s="67">
        <f>data_formula_legend!I92</f>
        <v>0</v>
      </c>
      <c r="AP12" s="21"/>
      <c r="AR12" s="100" t="s">
        <v>168</v>
      </c>
      <c r="AS12" s="67" t="str">
        <f>data_formula_legend!E98</f>
        <v>A None</v>
      </c>
      <c r="AT12" s="77">
        <f>data_formula_legend!F98</f>
        <v>0</v>
      </c>
      <c r="AU12" s="77">
        <f>data_formula_legend!G98</f>
        <v>0</v>
      </c>
      <c r="AV12" s="77">
        <f>data_formula_legend!H98</f>
        <v>0</v>
      </c>
      <c r="AW12" s="77">
        <f>data_formula_legend!I98</f>
        <v>0</v>
      </c>
      <c r="AX12" s="21"/>
      <c r="AZ12" s="100" t="s">
        <v>168</v>
      </c>
      <c r="BA12" s="67" t="str">
        <f>data_formula_legend!E105</f>
        <v>A None</v>
      </c>
      <c r="BB12" s="77">
        <f>data_formula_legend!F105</f>
        <v>0</v>
      </c>
      <c r="BC12" s="67">
        <f>data_formula_legend!G105</f>
        <v>0</v>
      </c>
      <c r="BD12" s="67">
        <f>data_formula_legend!H105</f>
        <v>0</v>
      </c>
      <c r="BE12" s="67">
        <f>data_formula_legend!I105</f>
        <v>0</v>
      </c>
      <c r="BF12" s="21"/>
      <c r="BH12" s="100" t="s">
        <v>168</v>
      </c>
      <c r="BI12" s="67" t="str">
        <f>data_formula_legend!E112</f>
        <v>A None</v>
      </c>
      <c r="BJ12" s="67">
        <f>data_formula_legend!F112</f>
        <v>0</v>
      </c>
      <c r="BK12" s="67">
        <f>data_formula_legend!G112</f>
        <v>0</v>
      </c>
      <c r="BL12" s="67">
        <f>data_formula_legend!H112</f>
        <v>0</v>
      </c>
      <c r="BM12" s="67">
        <f>data_formula_legend!I112</f>
        <v>0</v>
      </c>
      <c r="BN12" s="21"/>
      <c r="BP12" s="100" t="s">
        <v>168</v>
      </c>
      <c r="BQ12" s="67" t="str">
        <f>data_formula_legend!E120</f>
        <v>A None</v>
      </c>
      <c r="BR12" s="67">
        <f>data_formula_legend!F120</f>
        <v>0</v>
      </c>
      <c r="BS12" s="67">
        <f>data_formula_legend!G120</f>
        <v>0</v>
      </c>
      <c r="BT12" s="67">
        <f>data_formula_legend!H120</f>
        <v>0</v>
      </c>
      <c r="BU12" s="67">
        <f>data_formula_legend!I120</f>
        <v>0</v>
      </c>
      <c r="BV12" s="21"/>
      <c r="BX12" s="100" t="s">
        <v>168</v>
      </c>
      <c r="BY12" s="67" t="str">
        <f>data_formula_legend!E127</f>
        <v>A None</v>
      </c>
      <c r="BZ12" s="77">
        <f>data_formula_legend!F127</f>
        <v>0</v>
      </c>
      <c r="CA12" s="67">
        <f>data_formula_legend!G127</f>
        <v>0</v>
      </c>
      <c r="CB12" s="67">
        <f>data_formula_legend!H127</f>
        <v>0</v>
      </c>
      <c r="CC12" s="67">
        <f>data_formula_legend!I127</f>
        <v>0</v>
      </c>
      <c r="CD12" s="21"/>
      <c r="CF12" s="100" t="s">
        <v>168</v>
      </c>
      <c r="CG12" s="67" t="str">
        <f>data_formula_legend!E134</f>
        <v>A None</v>
      </c>
      <c r="CH12" s="67">
        <f>data_formula_legend!F134</f>
        <v>0</v>
      </c>
      <c r="CI12" s="67">
        <f>data_formula_legend!G134</f>
        <v>0</v>
      </c>
      <c r="CJ12" s="67">
        <f>data_formula_legend!H134</f>
        <v>0</v>
      </c>
      <c r="CK12" s="67">
        <f>data_formula_legend!I134</f>
        <v>0</v>
      </c>
      <c r="CL12" s="21"/>
      <c r="CN12" s="100" t="s">
        <v>168</v>
      </c>
      <c r="CO12" s="67">
        <f>data_formula_legend!AC120</f>
        <v>0</v>
      </c>
      <c r="CP12" s="67">
        <f>data_formula_legend!AD120</f>
        <v>0</v>
      </c>
      <c r="CQ12" s="67">
        <f>data_formula_legend!AE120</f>
        <v>0</v>
      </c>
      <c r="CR12" s="67">
        <f>data_formula_legend!AF120</f>
        <v>0</v>
      </c>
      <c r="CS12" s="67">
        <f>data_formula_legend!AG120</f>
        <v>0</v>
      </c>
      <c r="CT12" s="21"/>
    </row>
    <row r="13" spans="1:98" ht="29.4" customHeight="1" thickTop="1" thickBot="1" x14ac:dyDescent="0.35">
      <c r="A13" s="212"/>
      <c r="B13" s="213"/>
      <c r="C13" s="215"/>
      <c r="D13" s="100" t="s">
        <v>173</v>
      </c>
      <c r="E13" s="78">
        <f>data_formula_legend!E68</f>
        <v>0</v>
      </c>
      <c r="F13" s="79">
        <f>data_formula_legend!F68</f>
        <v>0</v>
      </c>
      <c r="G13" s="80">
        <f>data_formula_legend!G68</f>
        <v>0</v>
      </c>
      <c r="H13" s="81">
        <f>data_formula_legend!H68</f>
        <v>0</v>
      </c>
      <c r="I13" s="82"/>
      <c r="J13" s="21"/>
      <c r="L13" s="100" t="s">
        <v>173</v>
      </c>
      <c r="M13" s="67">
        <f>data_formula_legend!E75</f>
        <v>0</v>
      </c>
      <c r="N13" s="67">
        <f>data_formula_legend!F75</f>
        <v>0</v>
      </c>
      <c r="O13" s="67">
        <f>data_formula_legend!G75</f>
        <v>0</v>
      </c>
      <c r="P13" s="2">
        <f>data_formula_legend!O68</f>
        <v>0</v>
      </c>
      <c r="Q13" s="2">
        <f>data_formula_legend!I75</f>
        <v>0</v>
      </c>
      <c r="R13" s="21"/>
      <c r="T13" s="100" t="s">
        <v>173</v>
      </c>
      <c r="U13" s="67">
        <f>data_formula_legend!E81</f>
        <v>0</v>
      </c>
      <c r="V13" s="67">
        <f>data_formula_legend!F81</f>
        <v>0</v>
      </c>
      <c r="W13" s="67">
        <f>data_formula_legend!G81</f>
        <v>0</v>
      </c>
      <c r="X13" s="67">
        <f>data_formula_legend!H81</f>
        <v>0</v>
      </c>
      <c r="Y13" s="67">
        <f>data_formula_legend!I81</f>
        <v>0</v>
      </c>
      <c r="Z13" s="21"/>
      <c r="AB13" s="100" t="s">
        <v>173</v>
      </c>
      <c r="AC13" s="67">
        <f>data_formula_legend!E87</f>
        <v>0</v>
      </c>
      <c r="AD13" s="77">
        <f>data_formula_legend!F87</f>
        <v>0</v>
      </c>
      <c r="AE13" s="67">
        <f>data_formula_legend!G87</f>
        <v>0</v>
      </c>
      <c r="AF13" s="67">
        <f>data_formula_legend!H87</f>
        <v>0</v>
      </c>
      <c r="AG13" s="67">
        <f>data_formula_legend!I87</f>
        <v>0</v>
      </c>
      <c r="AH13" s="21"/>
      <c r="AJ13" s="100" t="s">
        <v>173</v>
      </c>
      <c r="AK13" s="67">
        <f>data_formula_legend!E93</f>
        <v>0</v>
      </c>
      <c r="AL13" s="67">
        <f>data_formula_legend!F93</f>
        <v>0</v>
      </c>
      <c r="AM13" s="67">
        <f>data_formula_legend!G93</f>
        <v>0</v>
      </c>
      <c r="AN13" s="67">
        <f>data_formula_legend!H93</f>
        <v>0</v>
      </c>
      <c r="AO13" s="67">
        <f>data_formula_legend!I93</f>
        <v>0</v>
      </c>
      <c r="AP13" s="21"/>
      <c r="AR13" s="100" t="s">
        <v>173</v>
      </c>
      <c r="AS13" s="67" t="str">
        <f>data_formula_legend!E99</f>
        <v>A None</v>
      </c>
      <c r="AT13" s="77">
        <f>data_formula_legend!F99</f>
        <v>0</v>
      </c>
      <c r="AU13" s="77">
        <f>data_formula_legend!G99</f>
        <v>0</v>
      </c>
      <c r="AV13" s="77">
        <f>data_formula_legend!H99</f>
        <v>0</v>
      </c>
      <c r="AW13" s="77">
        <f>data_formula_legend!I99</f>
        <v>0</v>
      </c>
      <c r="AX13" s="21"/>
      <c r="AZ13" s="100" t="s">
        <v>173</v>
      </c>
      <c r="BA13" s="67" t="str">
        <f>data_formula_legend!E106</f>
        <v>A None</v>
      </c>
      <c r="BB13" s="77">
        <f>data_formula_legend!F106</f>
        <v>0</v>
      </c>
      <c r="BC13" s="67">
        <f>data_formula_legend!G106</f>
        <v>0</v>
      </c>
      <c r="BD13" s="67">
        <f>data_formula_legend!H106</f>
        <v>0</v>
      </c>
      <c r="BE13" s="67">
        <f>data_formula_legend!I106</f>
        <v>0</v>
      </c>
      <c r="BF13" s="21"/>
      <c r="BH13" s="100" t="s">
        <v>173</v>
      </c>
      <c r="BI13" s="67" t="str">
        <f>data_formula_legend!E113</f>
        <v>A None</v>
      </c>
      <c r="BJ13" s="67">
        <f>data_formula_legend!F113</f>
        <v>0</v>
      </c>
      <c r="BK13" s="67">
        <f>data_formula_legend!G113</f>
        <v>0</v>
      </c>
      <c r="BL13" s="67">
        <f>data_formula_legend!H113</f>
        <v>0</v>
      </c>
      <c r="BM13" s="67">
        <f>data_formula_legend!I113</f>
        <v>0</v>
      </c>
      <c r="BN13" s="21"/>
      <c r="BP13" s="100" t="s">
        <v>173</v>
      </c>
      <c r="BQ13" s="67" t="str">
        <f>data_formula_legend!E121</f>
        <v>A None</v>
      </c>
      <c r="BR13" s="67">
        <f>data_formula_legend!F121</f>
        <v>0</v>
      </c>
      <c r="BS13" s="67">
        <f>data_formula_legend!G121</f>
        <v>0</v>
      </c>
      <c r="BT13" s="67">
        <f>data_formula_legend!H121</f>
        <v>0</v>
      </c>
      <c r="BU13" s="67">
        <f>data_formula_legend!I121</f>
        <v>0</v>
      </c>
      <c r="BV13" s="21"/>
      <c r="BX13" s="100" t="s">
        <v>173</v>
      </c>
      <c r="BY13" s="67" t="str">
        <f>data_formula_legend!E128</f>
        <v>A None</v>
      </c>
      <c r="BZ13" s="77">
        <f>data_formula_legend!F128</f>
        <v>0</v>
      </c>
      <c r="CA13" s="67">
        <f>data_formula_legend!G128</f>
        <v>0</v>
      </c>
      <c r="CB13" s="67">
        <f>data_formula_legend!H128</f>
        <v>0</v>
      </c>
      <c r="CC13" s="67">
        <f>data_formula_legend!I128</f>
        <v>0</v>
      </c>
      <c r="CD13" s="21"/>
      <c r="CF13" s="100" t="s">
        <v>173</v>
      </c>
      <c r="CG13" s="67" t="str">
        <f>data_formula_legend!E135</f>
        <v>A None</v>
      </c>
      <c r="CH13" s="67">
        <f>data_formula_legend!F135</f>
        <v>0</v>
      </c>
      <c r="CI13" s="67">
        <f>data_formula_legend!G135</f>
        <v>0</v>
      </c>
      <c r="CJ13" s="67">
        <f>data_formula_legend!H135</f>
        <v>0</v>
      </c>
      <c r="CK13" s="67">
        <f>data_formula_legend!I135</f>
        <v>0</v>
      </c>
      <c r="CL13" s="21"/>
      <c r="CN13" s="100" t="s">
        <v>173</v>
      </c>
      <c r="CO13" s="67">
        <f>data_formula_legend!AC121</f>
        <v>0</v>
      </c>
      <c r="CP13" s="67">
        <f>data_formula_legend!AD121</f>
        <v>0</v>
      </c>
      <c r="CQ13" s="67">
        <f>data_formula_legend!AE121</f>
        <v>0</v>
      </c>
      <c r="CR13" s="67">
        <f>data_formula_legend!AF121</f>
        <v>0</v>
      </c>
      <c r="CS13" s="67">
        <f>data_formula_legend!AG121</f>
        <v>0</v>
      </c>
      <c r="CT13" s="21"/>
    </row>
    <row r="14" spans="1:98" thickTop="1" thickBot="1" x14ac:dyDescent="0.35">
      <c r="A14" s="212"/>
      <c r="B14" s="318" t="s">
        <v>512</v>
      </c>
      <c r="C14" s="215"/>
      <c r="D14" s="101"/>
      <c r="E14" s="102"/>
      <c r="F14" s="71" t="s">
        <v>194</v>
      </c>
      <c r="G14" s="103">
        <f>SUM(G10:G13)</f>
        <v>8</v>
      </c>
      <c r="H14" s="22"/>
      <c r="I14" s="22"/>
      <c r="J14" s="23"/>
      <c r="L14" s="101"/>
      <c r="M14" s="102"/>
      <c r="N14" s="71" t="s">
        <v>194</v>
      </c>
      <c r="O14" s="103">
        <f>SUM(O10:O13)</f>
        <v>7</v>
      </c>
      <c r="P14" s="22"/>
      <c r="Q14" s="22"/>
      <c r="R14" s="23"/>
      <c r="T14" s="101"/>
      <c r="U14" s="102"/>
      <c r="V14" s="71" t="s">
        <v>194</v>
      </c>
      <c r="W14" s="103">
        <f>SUM(W10:W13)</f>
        <v>11</v>
      </c>
      <c r="X14" s="22"/>
      <c r="Y14" s="22"/>
      <c r="Z14" s="23"/>
      <c r="AB14" s="101"/>
      <c r="AC14" s="102"/>
      <c r="AD14" s="71" t="s">
        <v>194</v>
      </c>
      <c r="AE14" s="103">
        <f>SUM(AE10:AE13)</f>
        <v>8</v>
      </c>
      <c r="AF14" s="22"/>
      <c r="AG14" s="22"/>
      <c r="AH14" s="23"/>
      <c r="AJ14" s="101"/>
      <c r="AK14" s="102"/>
      <c r="AL14" s="71" t="s">
        <v>194</v>
      </c>
      <c r="AM14" s="103">
        <f>SUM(AM10:AM13)</f>
        <v>10</v>
      </c>
      <c r="AN14" s="22"/>
      <c r="AO14" s="22"/>
      <c r="AP14" s="23"/>
      <c r="AR14" s="101"/>
      <c r="AS14" s="102"/>
      <c r="AT14" s="71" t="s">
        <v>194</v>
      </c>
      <c r="AU14" s="103">
        <f>SUM(AU10:AU13)</f>
        <v>7</v>
      </c>
      <c r="AV14" s="22"/>
      <c r="AW14" s="22"/>
      <c r="AX14" s="23"/>
      <c r="AZ14" s="101"/>
      <c r="BA14" s="102"/>
      <c r="BB14" s="71" t="s">
        <v>194</v>
      </c>
      <c r="BC14" s="103">
        <f>SUM(BC10:BC13)</f>
        <v>7</v>
      </c>
      <c r="BD14" s="22"/>
      <c r="BE14" s="22"/>
      <c r="BF14" s="23"/>
      <c r="BH14" s="101"/>
      <c r="BI14" s="102"/>
      <c r="BJ14" s="71" t="s">
        <v>194</v>
      </c>
      <c r="BK14" s="103">
        <f>SUM(BK10:BK13)</f>
        <v>7</v>
      </c>
      <c r="BL14" s="22"/>
      <c r="BM14" s="22"/>
      <c r="BN14" s="23"/>
      <c r="BP14" s="101"/>
      <c r="BQ14" s="102"/>
      <c r="BR14" s="71" t="s">
        <v>194</v>
      </c>
      <c r="BS14" s="103">
        <f>SUM(BS10:BS13)</f>
        <v>7</v>
      </c>
      <c r="BT14" s="22"/>
      <c r="BU14" s="22"/>
      <c r="BV14" s="23"/>
      <c r="BX14" s="101"/>
      <c r="BY14" s="102"/>
      <c r="BZ14" s="71" t="s">
        <v>194</v>
      </c>
      <c r="CA14" s="103">
        <f>SUM(CA10:CA13)</f>
        <v>7</v>
      </c>
      <c r="CB14" s="22"/>
      <c r="CC14" s="22"/>
      <c r="CD14" s="23"/>
      <c r="CF14" s="101"/>
      <c r="CG14" s="102"/>
      <c r="CH14" s="71" t="s">
        <v>194</v>
      </c>
      <c r="CI14" s="103">
        <f>SUM(CI10:CI13)</f>
        <v>6</v>
      </c>
      <c r="CJ14" s="22"/>
      <c r="CK14" s="22"/>
      <c r="CL14" s="23"/>
      <c r="CN14" s="101"/>
      <c r="CO14" s="102"/>
      <c r="CP14" s="71" t="s">
        <v>194</v>
      </c>
      <c r="CQ14" s="103">
        <f>SUM(CQ10:CQ13)</f>
        <v>0</v>
      </c>
      <c r="CR14" s="22"/>
      <c r="CS14" s="22"/>
      <c r="CT14" s="23"/>
    </row>
    <row r="15" spans="1:98" ht="24" thickBot="1" x14ac:dyDescent="0.5">
      <c r="A15" s="212"/>
      <c r="B15" s="319"/>
      <c r="C15" s="215"/>
      <c r="D15" s="418" t="s">
        <v>205</v>
      </c>
      <c r="E15" s="426"/>
      <c r="F15" s="426"/>
      <c r="G15" s="426"/>
      <c r="H15" s="426"/>
      <c r="I15" s="426"/>
      <c r="J15" s="427"/>
      <c r="L15" s="445" t="s">
        <v>205</v>
      </c>
      <c r="M15" s="445"/>
      <c r="N15" s="445"/>
      <c r="O15" s="445"/>
      <c r="P15" s="445"/>
      <c r="Q15" s="445"/>
      <c r="R15" s="445"/>
      <c r="T15" s="445" t="s">
        <v>205</v>
      </c>
      <c r="U15" s="445"/>
      <c r="V15" s="445"/>
      <c r="W15" s="445"/>
      <c r="X15" s="445"/>
      <c r="Y15" s="445"/>
      <c r="Z15" s="445"/>
      <c r="AB15" s="445" t="s">
        <v>205</v>
      </c>
      <c r="AC15" s="445"/>
      <c r="AD15" s="445"/>
      <c r="AE15" s="445"/>
      <c r="AF15" s="445"/>
      <c r="AG15" s="445"/>
      <c r="AH15" s="445"/>
      <c r="AJ15" s="445" t="s">
        <v>205</v>
      </c>
      <c r="AK15" s="445"/>
      <c r="AL15" s="445"/>
      <c r="AM15" s="445"/>
      <c r="AN15" s="445"/>
      <c r="AO15" s="445"/>
      <c r="AP15" s="445"/>
      <c r="AR15" s="445" t="s">
        <v>205</v>
      </c>
      <c r="AS15" s="445"/>
      <c r="AT15" s="445"/>
      <c r="AU15" s="445"/>
      <c r="AV15" s="445"/>
      <c r="AW15" s="445"/>
      <c r="AX15" s="445"/>
      <c r="AZ15" s="445" t="s">
        <v>205</v>
      </c>
      <c r="BA15" s="445"/>
      <c r="BB15" s="445"/>
      <c r="BC15" s="445"/>
      <c r="BD15" s="445"/>
      <c r="BE15" s="445"/>
      <c r="BF15" s="445"/>
      <c r="BH15" s="445" t="s">
        <v>205</v>
      </c>
      <c r="BI15" s="445"/>
      <c r="BJ15" s="445"/>
      <c r="BK15" s="445"/>
      <c r="BL15" s="445"/>
      <c r="BM15" s="445"/>
      <c r="BN15" s="445"/>
      <c r="BP15" s="445" t="s">
        <v>205</v>
      </c>
      <c r="BQ15" s="445"/>
      <c r="BR15" s="445"/>
      <c r="BS15" s="445"/>
      <c r="BT15" s="445"/>
      <c r="BU15" s="445"/>
      <c r="BV15" s="445"/>
      <c r="BX15" s="445" t="s">
        <v>205</v>
      </c>
      <c r="BY15" s="445"/>
      <c r="BZ15" s="445"/>
      <c r="CA15" s="445"/>
      <c r="CB15" s="445"/>
      <c r="CC15" s="445"/>
      <c r="CD15" s="445"/>
      <c r="CF15" s="444" t="s">
        <v>205</v>
      </c>
      <c r="CG15" s="445"/>
      <c r="CH15" s="445"/>
      <c r="CI15" s="445"/>
      <c r="CJ15" s="445"/>
      <c r="CK15" s="445"/>
      <c r="CL15" s="446"/>
      <c r="CN15" s="445" t="s">
        <v>205</v>
      </c>
      <c r="CO15" s="445"/>
      <c r="CP15" s="445"/>
      <c r="CQ15" s="445"/>
      <c r="CR15" s="445"/>
      <c r="CS15" s="445"/>
      <c r="CT15" s="445"/>
    </row>
    <row r="16" spans="1:98" ht="15" customHeight="1" thickTop="1" thickBot="1" x14ac:dyDescent="0.35">
      <c r="A16" s="212"/>
      <c r="B16" s="213"/>
      <c r="C16" s="215"/>
      <c r="D16" s="118"/>
      <c r="E16" s="122" t="s">
        <v>36</v>
      </c>
      <c r="F16" s="119" t="s">
        <v>37</v>
      </c>
      <c r="G16" s="119" t="s">
        <v>33</v>
      </c>
      <c r="H16" s="117" t="s">
        <v>161</v>
      </c>
      <c r="I16" s="117" t="s">
        <v>186</v>
      </c>
      <c r="J16" s="120" t="s">
        <v>189</v>
      </c>
      <c r="K16" s="117"/>
      <c r="L16" s="139"/>
      <c r="M16" s="140" t="s">
        <v>36</v>
      </c>
      <c r="N16" s="138" t="s">
        <v>37</v>
      </c>
      <c r="O16" s="138" t="s">
        <v>33</v>
      </c>
      <c r="P16" s="30" t="s">
        <v>161</v>
      </c>
      <c r="Q16" s="30" t="s">
        <v>186</v>
      </c>
      <c r="R16" s="30" t="s">
        <v>189</v>
      </c>
      <c r="T16" s="139"/>
      <c r="U16" s="140" t="s">
        <v>36</v>
      </c>
      <c r="V16" s="138" t="s">
        <v>37</v>
      </c>
      <c r="W16" s="138" t="s">
        <v>33</v>
      </c>
      <c r="X16" s="30" t="s">
        <v>161</v>
      </c>
      <c r="Y16" s="30" t="s">
        <v>186</v>
      </c>
      <c r="Z16" s="30" t="s">
        <v>189</v>
      </c>
      <c r="AB16" s="139"/>
      <c r="AC16" s="140" t="s">
        <v>36</v>
      </c>
      <c r="AD16" s="138" t="s">
        <v>37</v>
      </c>
      <c r="AE16" s="138" t="s">
        <v>33</v>
      </c>
      <c r="AF16" s="30" t="s">
        <v>161</v>
      </c>
      <c r="AG16" s="30" t="s">
        <v>186</v>
      </c>
      <c r="AH16" s="30" t="s">
        <v>189</v>
      </c>
      <c r="AJ16" s="139"/>
      <c r="AK16" s="140" t="s">
        <v>36</v>
      </c>
      <c r="AL16" s="138" t="s">
        <v>37</v>
      </c>
      <c r="AM16" s="138" t="s">
        <v>33</v>
      </c>
      <c r="AN16" s="30" t="s">
        <v>161</v>
      </c>
      <c r="AO16" s="30" t="s">
        <v>186</v>
      </c>
      <c r="AP16" s="30" t="s">
        <v>189</v>
      </c>
      <c r="AR16" s="139"/>
      <c r="AS16" s="140" t="s">
        <v>36</v>
      </c>
      <c r="AT16" s="138" t="s">
        <v>37</v>
      </c>
      <c r="AU16" s="138" t="s">
        <v>33</v>
      </c>
      <c r="AV16" s="30" t="s">
        <v>161</v>
      </c>
      <c r="AW16" s="30" t="s">
        <v>186</v>
      </c>
      <c r="AX16" s="30" t="s">
        <v>189</v>
      </c>
      <c r="AZ16" s="139"/>
      <c r="BA16" s="140" t="s">
        <v>36</v>
      </c>
      <c r="BB16" s="138" t="s">
        <v>37</v>
      </c>
      <c r="BC16" s="138" t="s">
        <v>33</v>
      </c>
      <c r="BD16" s="30" t="s">
        <v>161</v>
      </c>
      <c r="BE16" s="30" t="s">
        <v>186</v>
      </c>
      <c r="BF16" s="30" t="s">
        <v>189</v>
      </c>
      <c r="BH16" s="139"/>
      <c r="BI16" s="140" t="s">
        <v>36</v>
      </c>
      <c r="BJ16" s="138" t="s">
        <v>37</v>
      </c>
      <c r="BK16" s="138" t="s">
        <v>33</v>
      </c>
      <c r="BL16" s="30" t="s">
        <v>161</v>
      </c>
      <c r="BM16" s="30" t="s">
        <v>186</v>
      </c>
      <c r="BN16" s="30" t="s">
        <v>189</v>
      </c>
      <c r="BP16" s="139"/>
      <c r="BQ16" s="140" t="s">
        <v>36</v>
      </c>
      <c r="BR16" s="138" t="s">
        <v>37</v>
      </c>
      <c r="BS16" s="138" t="s">
        <v>33</v>
      </c>
      <c r="BT16" s="30" t="s">
        <v>161</v>
      </c>
      <c r="BU16" s="30" t="s">
        <v>186</v>
      </c>
      <c r="BV16" s="30" t="s">
        <v>189</v>
      </c>
      <c r="BX16" s="139"/>
      <c r="BY16" s="140" t="s">
        <v>36</v>
      </c>
      <c r="BZ16" s="138" t="s">
        <v>37</v>
      </c>
      <c r="CA16" s="138" t="s">
        <v>33</v>
      </c>
      <c r="CB16" s="30" t="s">
        <v>161</v>
      </c>
      <c r="CC16" s="30" t="s">
        <v>186</v>
      </c>
      <c r="CD16" s="30" t="s">
        <v>189</v>
      </c>
      <c r="CF16" s="249"/>
      <c r="CG16" s="140" t="s">
        <v>36</v>
      </c>
      <c r="CH16" s="138" t="s">
        <v>37</v>
      </c>
      <c r="CI16" s="138" t="s">
        <v>33</v>
      </c>
      <c r="CJ16" s="30" t="s">
        <v>161</v>
      </c>
      <c r="CK16" s="30" t="s">
        <v>186</v>
      </c>
      <c r="CL16" s="250" t="s">
        <v>189</v>
      </c>
      <c r="CN16" s="139"/>
      <c r="CO16" s="140" t="s">
        <v>36</v>
      </c>
      <c r="CP16" s="138" t="s">
        <v>37</v>
      </c>
      <c r="CQ16" s="138" t="s">
        <v>33</v>
      </c>
      <c r="CR16" s="30" t="s">
        <v>161</v>
      </c>
      <c r="CS16" s="30" t="s">
        <v>186</v>
      </c>
      <c r="CT16" s="30" t="s">
        <v>189</v>
      </c>
    </row>
    <row r="17" spans="1:98" ht="58.8" thickTop="1" thickBot="1" x14ac:dyDescent="0.35">
      <c r="A17" s="212"/>
      <c r="B17" s="318" t="s">
        <v>266</v>
      </c>
      <c r="C17" s="215"/>
      <c r="D17" s="472" t="s">
        <v>180</v>
      </c>
      <c r="E17" s="285" t="str">
        <f>INDEX(guest_lists[guest_lists],MATCH("party_1 G1",guest_lists[party],0))</f>
        <v>Penelope Lister</v>
      </c>
      <c r="F17" s="285" t="str">
        <f>INDEX(guest_lists[tour_type],MATCH(E17,guest_lists[guest_lists],0))</f>
        <v>12 - DPCYT</v>
      </c>
      <c r="G17" s="86" t="s">
        <v>455</v>
      </c>
      <c r="H17" s="86" t="s">
        <v>192</v>
      </c>
      <c r="I17" s="87"/>
      <c r="J17" s="88"/>
      <c r="L17" s="447" t="s">
        <v>180</v>
      </c>
      <c r="M17" s="98" t="str">
        <f>INDEX(guest_lists[guest_lists],MATCH("party_1 G1",guest_lists[party],0))</f>
        <v>Penelope Lister</v>
      </c>
      <c r="N17" s="98" t="str">
        <f>INDEX(guest_lists[tour_type],MATCH(M17,guest_lists[guest_lists],0))</f>
        <v>12 - DPCYT</v>
      </c>
      <c r="O17" s="86" t="s">
        <v>151</v>
      </c>
      <c r="P17" s="86" t="s">
        <v>192</v>
      </c>
      <c r="Q17" s="87"/>
      <c r="R17" s="88"/>
      <c r="T17" s="447" t="s">
        <v>180</v>
      </c>
      <c r="U17" s="98" t="str">
        <f>INDEX(guest_lists[guest_lists],MATCH("party_1 G1",guest_lists[party],0))</f>
        <v>Penelope Lister</v>
      </c>
      <c r="V17" s="98" t="str">
        <f>INDEX(guest_lists[tour_type],MATCH(U17,guest_lists[guest_lists],0))</f>
        <v>12 - DPCYT</v>
      </c>
      <c r="W17" s="86" t="s">
        <v>148</v>
      </c>
      <c r="X17" s="86" t="s">
        <v>192</v>
      </c>
      <c r="Y17" s="87">
        <v>12</v>
      </c>
      <c r="Z17" s="88"/>
      <c r="AB17" s="447" t="s">
        <v>180</v>
      </c>
      <c r="AC17" s="98" t="str">
        <f>INDEX(guest_lists[guest_lists],MATCH("party_1 G1",guest_lists[party],0))</f>
        <v>Penelope Lister</v>
      </c>
      <c r="AD17" s="98" t="str">
        <f>INDEX(guest_lists[tour_type],MATCH(AC17,guest_lists[guest_lists],0))</f>
        <v>12 - DPCYT</v>
      </c>
      <c r="AE17" s="86" t="s">
        <v>278</v>
      </c>
      <c r="AF17" s="86" t="s">
        <v>192</v>
      </c>
      <c r="AG17" s="87"/>
      <c r="AH17" s="268"/>
      <c r="AJ17" s="447" t="s">
        <v>180</v>
      </c>
      <c r="AK17" s="98" t="str">
        <f>INDEX(guest_lists[guest_lists],MATCH("party_1 G1",guest_lists[party],0))</f>
        <v>Penelope Lister</v>
      </c>
      <c r="AL17" s="98" t="str">
        <f>INDEX(guest_lists[tour_type],MATCH(AK17,guest_lists[guest_lists],0))</f>
        <v>12 - DPCYT</v>
      </c>
      <c r="AM17" s="86" t="s">
        <v>149</v>
      </c>
      <c r="AN17" s="86" t="s">
        <v>192</v>
      </c>
      <c r="AO17" s="87"/>
      <c r="AP17" s="243" t="s">
        <v>488</v>
      </c>
      <c r="AR17" s="447" t="s">
        <v>180</v>
      </c>
      <c r="AS17" s="98" t="str">
        <f>INDEX(guest_lists[guest_lists],MATCH("party_1 G1",guest_lists[party],0))</f>
        <v>Penelope Lister</v>
      </c>
      <c r="AT17" s="98" t="str">
        <f>INDEX(guest_lists[tour_type],MATCH(AS17,guest_lists[guest_lists],0))</f>
        <v>12 - DPCYT</v>
      </c>
      <c r="AU17" s="86" t="s">
        <v>281</v>
      </c>
      <c r="AV17" s="86" t="s">
        <v>192</v>
      </c>
      <c r="AW17" s="87"/>
      <c r="AX17" s="88"/>
      <c r="AZ17" s="447" t="s">
        <v>180</v>
      </c>
      <c r="BA17" s="98" t="str">
        <f>INDEX(guest_lists[guest_lists],MATCH("party_1 G1",guest_lists[party],0))</f>
        <v>Penelope Lister</v>
      </c>
      <c r="BB17" s="98" t="str">
        <f>INDEX(guest_lists[tour_type],MATCH(BA17,guest_lists[guest_lists],0))</f>
        <v>12 - DPCYT</v>
      </c>
      <c r="BC17" s="86" t="s">
        <v>281</v>
      </c>
      <c r="BD17" s="86" t="s">
        <v>192</v>
      </c>
      <c r="BE17" s="87"/>
      <c r="BF17" s="88"/>
      <c r="BH17" s="447" t="s">
        <v>180</v>
      </c>
      <c r="BI17" s="98" t="str">
        <f>INDEX(guest_lists[guest_lists],MATCH("party_1 G1",guest_lists[party],0))</f>
        <v>Penelope Lister</v>
      </c>
      <c r="BJ17" s="98" t="str">
        <f>INDEX(guest_lists[tour_type],MATCH(BI17,guest_lists[guest_lists],0))</f>
        <v>12 - DPCYT</v>
      </c>
      <c r="BK17" s="86" t="s">
        <v>285</v>
      </c>
      <c r="BL17" s="86" t="s">
        <v>192</v>
      </c>
      <c r="BM17" s="87"/>
      <c r="BN17" s="243" t="s">
        <v>495</v>
      </c>
      <c r="BP17" s="447" t="s">
        <v>180</v>
      </c>
      <c r="BQ17" s="98" t="str">
        <f>INDEX(guest_lists[guest_lists],MATCH("party_1 G1",guest_lists[party],0))</f>
        <v>Penelope Lister</v>
      </c>
      <c r="BR17" s="98" t="str">
        <f>INDEX(guest_lists[tour_type],MATCH(BQ17,guest_lists[guest_lists],0))</f>
        <v>12 - DPCYT</v>
      </c>
      <c r="BS17" s="86" t="s">
        <v>150</v>
      </c>
      <c r="BT17" s="86" t="s">
        <v>192</v>
      </c>
      <c r="BU17" s="87"/>
      <c r="BV17" s="243" t="s">
        <v>496</v>
      </c>
      <c r="BX17" s="447" t="s">
        <v>180</v>
      </c>
      <c r="BY17" s="98" t="str">
        <f>INDEX(guest_lists[guest_lists],MATCH("party_1 G1",guest_lists[party],0))</f>
        <v>Penelope Lister</v>
      </c>
      <c r="BZ17" s="98" t="str">
        <f>INDEX(guest_lists[tour_type],MATCH(BY17,guest_lists[guest_lists],0))</f>
        <v>12 - DPCYT</v>
      </c>
      <c r="CA17" s="86" t="s">
        <v>150</v>
      </c>
      <c r="CB17" s="86" t="s">
        <v>192</v>
      </c>
      <c r="CC17" s="87"/>
      <c r="CD17" s="243" t="s">
        <v>501</v>
      </c>
      <c r="CF17" s="447" t="s">
        <v>180</v>
      </c>
      <c r="CG17" s="98" t="str">
        <f>INDEX(guest_lists[guest_lists],MATCH("party_1 G1",guest_lists[party],0))</f>
        <v>Penelope Lister</v>
      </c>
      <c r="CH17" s="98" t="str">
        <f>INDEX(guest_lists[tour_type],MATCH(CG17,guest_lists[guest_lists],0))</f>
        <v>12 - DPCYT</v>
      </c>
      <c r="CI17" s="302" t="s">
        <v>465</v>
      </c>
      <c r="CJ17" s="302" t="s">
        <v>192</v>
      </c>
      <c r="CK17" s="303"/>
      <c r="CL17" s="243"/>
      <c r="CN17" s="447" t="s">
        <v>180</v>
      </c>
      <c r="CO17" s="98" t="str">
        <f>INDEX(guest_lists[guest_lists],MATCH("party_1 G1",guest_lists[party],0))</f>
        <v>Penelope Lister</v>
      </c>
      <c r="CP17" s="98" t="str">
        <f>INDEX(guest_lists[tour_type],MATCH(CO17,guest_lists[guest_lists],0))</f>
        <v>12 - DPCYT</v>
      </c>
      <c r="CQ17" s="86"/>
      <c r="CR17" s="86"/>
      <c r="CS17" s="87"/>
      <c r="CT17" s="88"/>
    </row>
    <row r="18" spans="1:98" ht="58.2" thickBot="1" x14ac:dyDescent="0.35">
      <c r="A18" s="212"/>
      <c r="B18" s="319"/>
      <c r="C18" s="215"/>
      <c r="D18" s="473"/>
      <c r="E18" s="286" t="str">
        <f>INDEX(guest_lists[guest_lists],MATCH("party_1 G2",guest_lists[party],0))</f>
        <v>Gerald Lister</v>
      </c>
      <c r="F18" s="285" t="str">
        <f>INDEX(guest_lists[tour_type],MATCH(E18,guest_lists[guest_lists],0))</f>
        <v>12 - DPCYT</v>
      </c>
      <c r="G18" s="95" t="s">
        <v>455</v>
      </c>
      <c r="H18" s="95" t="s">
        <v>192</v>
      </c>
      <c r="I18" s="96"/>
      <c r="J18" s="97"/>
      <c r="L18" s="450"/>
      <c r="M18" s="121" t="str">
        <f>INDEX(guest_lists[guest_lists],MATCH("party_1 G2",guest_lists[party],0))</f>
        <v>Gerald Lister</v>
      </c>
      <c r="N18" s="98" t="str">
        <f>INDEX(guest_lists[tour_type],MATCH(M18,guest_lists[guest_lists],0))</f>
        <v>12 - DPCYT</v>
      </c>
      <c r="O18" s="86" t="s">
        <v>151</v>
      </c>
      <c r="P18" s="95" t="s">
        <v>192</v>
      </c>
      <c r="Q18" s="96"/>
      <c r="R18" s="97"/>
      <c r="T18" s="448"/>
      <c r="U18" s="121" t="str">
        <f>INDEX(guest_lists[guest_lists],MATCH("party_1 G2",guest_lists[party],0))</f>
        <v>Gerald Lister</v>
      </c>
      <c r="V18" s="98" t="str">
        <f>INDEX(guest_lists[tour_type],MATCH(U18,guest_lists[guest_lists],0))</f>
        <v>12 - DPCYT</v>
      </c>
      <c r="W18" s="86" t="s">
        <v>148</v>
      </c>
      <c r="X18" s="95" t="s">
        <v>192</v>
      </c>
      <c r="Y18" s="96">
        <v>12</v>
      </c>
      <c r="Z18" s="97"/>
      <c r="AB18" s="448"/>
      <c r="AC18" s="121" t="str">
        <f>INDEX(guest_lists[guest_lists],MATCH("party_1 G2",guest_lists[party],0))</f>
        <v>Gerald Lister</v>
      </c>
      <c r="AD18" s="98" t="str">
        <f>INDEX(guest_lists[tour_type],MATCH(AC18,guest_lists[guest_lists],0))</f>
        <v>12 - DPCYT</v>
      </c>
      <c r="AE18" s="86" t="s">
        <v>278</v>
      </c>
      <c r="AF18" s="95" t="s">
        <v>192</v>
      </c>
      <c r="AG18" s="96"/>
      <c r="AH18" s="269"/>
      <c r="AJ18" s="448"/>
      <c r="AK18" s="121" t="str">
        <f>INDEX(guest_lists[guest_lists],MATCH("party_1 G2",guest_lists[party],0))</f>
        <v>Gerald Lister</v>
      </c>
      <c r="AL18" s="98" t="str">
        <f>INDEX(guest_lists[tour_type],MATCH(AK18,guest_lists[guest_lists],0))</f>
        <v>12 - DPCYT</v>
      </c>
      <c r="AM18" s="86" t="s">
        <v>149</v>
      </c>
      <c r="AN18" s="95" t="s">
        <v>192</v>
      </c>
      <c r="AO18" s="96"/>
      <c r="AP18" s="243" t="s">
        <v>488</v>
      </c>
      <c r="AR18" s="448"/>
      <c r="AS18" s="121" t="str">
        <f>INDEX(guest_lists[guest_lists],MATCH("party_1 G2",guest_lists[party],0))</f>
        <v>Gerald Lister</v>
      </c>
      <c r="AT18" s="98" t="str">
        <f>INDEX(guest_lists[tour_type],MATCH(AS18,guest_lists[guest_lists],0))</f>
        <v>12 - DPCYT</v>
      </c>
      <c r="AU18" s="86" t="s">
        <v>281</v>
      </c>
      <c r="AV18" s="95" t="s">
        <v>192</v>
      </c>
      <c r="AW18" s="96"/>
      <c r="AX18" s="97"/>
      <c r="AZ18" s="448"/>
      <c r="BA18" s="121" t="str">
        <f>INDEX(guest_lists[guest_lists],MATCH("party_1 G2",guest_lists[party],0))</f>
        <v>Gerald Lister</v>
      </c>
      <c r="BB18" s="98" t="str">
        <f>INDEX(guest_lists[tour_type],MATCH(BA18,guest_lists[guest_lists],0))</f>
        <v>12 - DPCYT</v>
      </c>
      <c r="BC18" s="86" t="s">
        <v>281</v>
      </c>
      <c r="BD18" s="95" t="s">
        <v>192</v>
      </c>
      <c r="BE18" s="96"/>
      <c r="BF18" s="97"/>
      <c r="BH18" s="448"/>
      <c r="BI18" s="121" t="str">
        <f>INDEX(guest_lists[guest_lists],MATCH("party_1 G2",guest_lists[party],0))</f>
        <v>Gerald Lister</v>
      </c>
      <c r="BJ18" s="98" t="str">
        <f>INDEX(guest_lists[tour_type],MATCH(BI18,guest_lists[guest_lists],0))</f>
        <v>12 - DPCYT</v>
      </c>
      <c r="BK18" s="86" t="s">
        <v>285</v>
      </c>
      <c r="BL18" s="95" t="s">
        <v>192</v>
      </c>
      <c r="BM18" s="96"/>
      <c r="BN18" s="243" t="s">
        <v>495</v>
      </c>
      <c r="BP18" s="448"/>
      <c r="BQ18" s="121" t="str">
        <f>INDEX(guest_lists[guest_lists],MATCH("party_1 G2",guest_lists[party],0))</f>
        <v>Gerald Lister</v>
      </c>
      <c r="BR18" s="98" t="str">
        <f>INDEX(guest_lists[tour_type],MATCH(BQ18,guest_lists[guest_lists],0))</f>
        <v>12 - DPCYT</v>
      </c>
      <c r="BS18" s="86" t="s">
        <v>150</v>
      </c>
      <c r="BT18" s="95" t="s">
        <v>192</v>
      </c>
      <c r="BU18" s="96"/>
      <c r="BV18" s="301" t="s">
        <v>496</v>
      </c>
      <c r="BX18" s="448"/>
      <c r="BY18" s="121" t="str">
        <f>INDEX(guest_lists[guest_lists],MATCH("party_1 G2",guest_lists[party],0))</f>
        <v>Gerald Lister</v>
      </c>
      <c r="BZ18" s="98" t="str">
        <f>INDEX(guest_lists[tour_type],MATCH(BY18,guest_lists[guest_lists],0))</f>
        <v>12 - DPCYT</v>
      </c>
      <c r="CA18" s="86" t="s">
        <v>150</v>
      </c>
      <c r="CB18" s="95" t="s">
        <v>192</v>
      </c>
      <c r="CC18" s="96"/>
      <c r="CD18" s="301" t="s">
        <v>501</v>
      </c>
      <c r="CF18" s="448"/>
      <c r="CG18" s="121" t="str">
        <f>INDEX(guest_lists[guest_lists],MATCH("party_1 G2",guest_lists[party],0))</f>
        <v>Gerald Lister</v>
      </c>
      <c r="CH18" s="98" t="str">
        <f>INDEX(guest_lists[tour_type],MATCH(CG18,guest_lists[guest_lists],0))</f>
        <v>12 - DPCYT</v>
      </c>
      <c r="CI18" s="302" t="s">
        <v>465</v>
      </c>
      <c r="CJ18" s="304" t="s">
        <v>192</v>
      </c>
      <c r="CK18" s="305"/>
      <c r="CL18" s="301"/>
      <c r="CN18" s="448"/>
      <c r="CO18" s="121" t="str">
        <f>INDEX(guest_lists[guest_lists],MATCH("party_1 G2",guest_lists[party],0))</f>
        <v>Gerald Lister</v>
      </c>
      <c r="CP18" s="98" t="str">
        <f>INDEX(guest_lists[tour_type],MATCH(CO18,guest_lists[guest_lists],0))</f>
        <v>12 - DPCYT</v>
      </c>
      <c r="CQ18" s="86"/>
      <c r="CR18" s="95"/>
      <c r="CS18" s="96"/>
      <c r="CT18" s="97"/>
    </row>
    <row r="19" spans="1:98" ht="58.8" thickTop="1" thickBot="1" x14ac:dyDescent="0.35">
      <c r="A19" s="212"/>
      <c r="B19" s="213"/>
      <c r="C19" s="215"/>
      <c r="D19" s="478" t="s">
        <v>181</v>
      </c>
      <c r="E19" s="287" t="str">
        <f>INDEX(guest_lists[guest_lists],MATCH("party_2 G1",guest_lists[party],0))</f>
        <v>Denis Lister</v>
      </c>
      <c r="F19" s="287" t="str">
        <f>INDEX(guest_lists[tour_type],MATCH(E19,guest_lists[guest_lists],0))</f>
        <v>12 - DPCYT</v>
      </c>
      <c r="G19" s="93" t="s">
        <v>455</v>
      </c>
      <c r="H19" s="86" t="s">
        <v>192</v>
      </c>
      <c r="I19" s="87"/>
      <c r="J19" s="88"/>
      <c r="L19" s="449" t="s">
        <v>181</v>
      </c>
      <c r="M19" s="98" t="str">
        <f>INDEX(guest_lists[guest_lists],MATCH("party_2 G1",guest_lists[party],0))</f>
        <v>Denis Lister</v>
      </c>
      <c r="N19" s="98" t="str">
        <f>INDEX(guest_lists[tour_type],MATCH(M19,guest_lists[guest_lists],0))</f>
        <v>12 - DPCYT</v>
      </c>
      <c r="O19" s="86" t="s">
        <v>151</v>
      </c>
      <c r="P19" s="86" t="s">
        <v>192</v>
      </c>
      <c r="Q19" s="87"/>
      <c r="R19" s="88"/>
      <c r="T19" s="449" t="s">
        <v>181</v>
      </c>
      <c r="U19" s="98" t="str">
        <f>INDEX(guest_lists[guest_lists],MATCH("party_2 G1",guest_lists[party],0))</f>
        <v>Denis Lister</v>
      </c>
      <c r="V19" s="98" t="str">
        <f>INDEX(guest_lists[tour_type],MATCH(U19,guest_lists[guest_lists],0))</f>
        <v>12 - DPCYT</v>
      </c>
      <c r="W19" s="86" t="s">
        <v>148</v>
      </c>
      <c r="X19" s="86" t="s">
        <v>192</v>
      </c>
      <c r="Y19" s="87">
        <v>14</v>
      </c>
      <c r="Z19" s="88"/>
      <c r="AB19" s="449" t="s">
        <v>181</v>
      </c>
      <c r="AC19" s="98" t="str">
        <f>INDEX(guest_lists[guest_lists],MATCH("party_2 G1",guest_lists[party],0))</f>
        <v>Denis Lister</v>
      </c>
      <c r="AD19" s="98" t="str">
        <f>INDEX(guest_lists[tour_type],MATCH(AC19,guest_lists[guest_lists],0))</f>
        <v>12 - DPCYT</v>
      </c>
      <c r="AE19" s="86" t="s">
        <v>278</v>
      </c>
      <c r="AF19" s="86" t="s">
        <v>192</v>
      </c>
      <c r="AG19" s="87"/>
      <c r="AH19" s="268"/>
      <c r="AJ19" s="449" t="s">
        <v>181</v>
      </c>
      <c r="AK19" s="98" t="str">
        <f>INDEX(guest_lists[guest_lists],MATCH("party_2 G1",guest_lists[party],0))</f>
        <v>Denis Lister</v>
      </c>
      <c r="AL19" s="98" t="str">
        <f>INDEX(guest_lists[tour_type],MATCH(AK19,guest_lists[guest_lists],0))</f>
        <v>12 - DPCYT</v>
      </c>
      <c r="AM19" s="86" t="s">
        <v>149</v>
      </c>
      <c r="AN19" s="86" t="s">
        <v>192</v>
      </c>
      <c r="AO19" s="87"/>
      <c r="AP19" s="243" t="s">
        <v>489</v>
      </c>
      <c r="AR19" s="449" t="s">
        <v>181</v>
      </c>
      <c r="AS19" s="98" t="str">
        <f>INDEX(guest_lists[guest_lists],MATCH("party_2 G1",guest_lists[party],0))</f>
        <v>Denis Lister</v>
      </c>
      <c r="AT19" s="98" t="str">
        <f>INDEX(guest_lists[tour_type],MATCH(AS19,guest_lists[guest_lists],0))</f>
        <v>12 - DPCYT</v>
      </c>
      <c r="AU19" s="86" t="s">
        <v>281</v>
      </c>
      <c r="AV19" s="86" t="s">
        <v>192</v>
      </c>
      <c r="AW19" s="87"/>
      <c r="AX19" s="88"/>
      <c r="AZ19" s="449" t="s">
        <v>181</v>
      </c>
      <c r="BA19" s="98" t="str">
        <f>INDEX(guest_lists[guest_lists],MATCH("party_2 G1",guest_lists[party],0))</f>
        <v>Denis Lister</v>
      </c>
      <c r="BB19" s="98" t="str">
        <f>INDEX(guest_lists[tour_type],MATCH(BA19,guest_lists[guest_lists],0))</f>
        <v>12 - DPCYT</v>
      </c>
      <c r="BC19" s="86" t="s">
        <v>281</v>
      </c>
      <c r="BD19" s="86" t="s">
        <v>192</v>
      </c>
      <c r="BE19" s="87"/>
      <c r="BF19" s="88"/>
      <c r="BH19" s="449" t="s">
        <v>181</v>
      </c>
      <c r="BI19" s="98" t="str">
        <f>INDEX(guest_lists[guest_lists],MATCH("party_2 G1",guest_lists[party],0))</f>
        <v>Denis Lister</v>
      </c>
      <c r="BJ19" s="98" t="str">
        <f>INDEX(guest_lists[tour_type],MATCH(BI19,guest_lists[guest_lists],0))</f>
        <v>12 - DPCYT</v>
      </c>
      <c r="BK19" s="86" t="s">
        <v>285</v>
      </c>
      <c r="BL19" s="86" t="s">
        <v>192</v>
      </c>
      <c r="BM19" s="87"/>
      <c r="BN19" s="243" t="s">
        <v>495</v>
      </c>
      <c r="BP19" s="449" t="s">
        <v>181</v>
      </c>
      <c r="BQ19" s="98" t="str">
        <f>INDEX(guest_lists[guest_lists],MATCH("party_2 G1",guest_lists[party],0))</f>
        <v>Denis Lister</v>
      </c>
      <c r="BR19" s="98" t="str">
        <f>INDEX(guest_lists[tour_type],MATCH(BQ19,guest_lists[guest_lists],0))</f>
        <v>12 - DPCYT</v>
      </c>
      <c r="BS19" s="86" t="s">
        <v>150</v>
      </c>
      <c r="BT19" s="86" t="s">
        <v>192</v>
      </c>
      <c r="BU19" s="87"/>
      <c r="BV19" s="301" t="s">
        <v>496</v>
      </c>
      <c r="BX19" s="449" t="s">
        <v>181</v>
      </c>
      <c r="BY19" s="98" t="str">
        <f>INDEX(guest_lists[guest_lists],MATCH("party_2 G1",guest_lists[party],0))</f>
        <v>Denis Lister</v>
      </c>
      <c r="BZ19" s="98" t="str">
        <f>INDEX(guest_lists[tour_type],MATCH(BY19,guest_lists[guest_lists],0))</f>
        <v>12 - DPCYT</v>
      </c>
      <c r="CA19" s="86" t="s">
        <v>150</v>
      </c>
      <c r="CB19" s="86" t="s">
        <v>192</v>
      </c>
      <c r="CC19" s="87"/>
      <c r="CD19" s="243" t="s">
        <v>501</v>
      </c>
      <c r="CF19" s="449" t="s">
        <v>181</v>
      </c>
      <c r="CG19" s="98" t="str">
        <f>INDEX(guest_lists[guest_lists],MATCH("party_2 G1",guest_lists[party],0))</f>
        <v>Denis Lister</v>
      </c>
      <c r="CH19" s="98" t="str">
        <f>INDEX(guest_lists[tour_type],MATCH(CG19,guest_lists[guest_lists],0))</f>
        <v>12 - DPCYT</v>
      </c>
      <c r="CI19" s="302" t="s">
        <v>465</v>
      </c>
      <c r="CJ19" s="302" t="s">
        <v>192</v>
      </c>
      <c r="CK19" s="303"/>
      <c r="CL19" s="243"/>
      <c r="CN19" s="449" t="s">
        <v>181</v>
      </c>
      <c r="CO19" s="98" t="str">
        <f>INDEX(guest_lists[guest_lists],MATCH("party_2 G1",guest_lists[party],0))</f>
        <v>Denis Lister</v>
      </c>
      <c r="CP19" s="98" t="str">
        <f>INDEX(guest_lists[tour_type],MATCH(CO19,guest_lists[guest_lists],0))</f>
        <v>12 - DPCYT</v>
      </c>
      <c r="CQ19" s="86"/>
      <c r="CR19" s="86"/>
      <c r="CS19" s="87"/>
      <c r="CT19" s="88"/>
    </row>
    <row r="20" spans="1:98" ht="30" thickTop="1" thickBot="1" x14ac:dyDescent="0.35">
      <c r="A20" s="212"/>
      <c r="B20" s="318" t="s">
        <v>267</v>
      </c>
      <c r="C20" s="215"/>
      <c r="D20" s="479"/>
      <c r="E20" s="288" t="e">
        <f>INDEX(guest_lists[guest_lists],MATCH("party_2 G2",guest_lists[party],0))</f>
        <v>#N/A</v>
      </c>
      <c r="F20" s="287" t="e">
        <f>INDEX(guest_lists[tour_type],MATCH(E20,guest_lists[guest_lists],0))</f>
        <v>#N/A</v>
      </c>
      <c r="G20" s="90"/>
      <c r="H20" s="90"/>
      <c r="I20" s="91"/>
      <c r="J20" s="92"/>
      <c r="L20" s="450"/>
      <c r="M20" s="94" t="e">
        <f>INDEX(guest_lists[guest_lists],MATCH("party_2 G2",guest_lists[party],0))</f>
        <v>#N/A</v>
      </c>
      <c r="N20" s="98" t="e">
        <f>INDEX(guest_lists[tour_type],MATCH(M20,guest_lists[guest_lists],0))</f>
        <v>#N/A</v>
      </c>
      <c r="O20" s="86"/>
      <c r="P20" s="90"/>
      <c r="Q20" s="91"/>
      <c r="R20" s="92"/>
      <c r="T20" s="450"/>
      <c r="U20" s="94" t="e">
        <f>INDEX(guest_lists[guest_lists],MATCH("party_2 G2",guest_lists[party],0))</f>
        <v>#N/A</v>
      </c>
      <c r="V20" s="98" t="e">
        <f>INDEX(guest_lists[tour_type],MATCH(U20,guest_lists[guest_lists],0))</f>
        <v>#N/A</v>
      </c>
      <c r="W20" s="86"/>
      <c r="X20" s="90"/>
      <c r="Y20" s="91"/>
      <c r="Z20" s="92"/>
      <c r="AB20" s="450"/>
      <c r="AC20" s="94" t="e">
        <f>INDEX(guest_lists[guest_lists],MATCH("party_2 G2",guest_lists[party],0))</f>
        <v>#N/A</v>
      </c>
      <c r="AD20" s="98" t="e">
        <f>INDEX(guest_lists[tour_type],MATCH(AC20,guest_lists[guest_lists],0))</f>
        <v>#N/A</v>
      </c>
      <c r="AE20" s="86"/>
      <c r="AF20" s="90"/>
      <c r="AG20" s="91"/>
      <c r="AH20" s="270"/>
      <c r="AJ20" s="450"/>
      <c r="AK20" s="94" t="e">
        <f>INDEX(guest_lists[guest_lists],MATCH("party_2 G2",guest_lists[party],0))</f>
        <v>#N/A</v>
      </c>
      <c r="AL20" s="98" t="e">
        <f>INDEX(guest_lists[tour_type],MATCH(AK20,guest_lists[guest_lists],0))</f>
        <v>#N/A</v>
      </c>
      <c r="AM20" s="86"/>
      <c r="AN20" s="90"/>
      <c r="AO20" s="91"/>
      <c r="AP20" s="300"/>
      <c r="AR20" s="450"/>
      <c r="AS20" s="94" t="e">
        <f>INDEX(guest_lists[guest_lists],MATCH("party_2 G2",guest_lists[party],0))</f>
        <v>#N/A</v>
      </c>
      <c r="AT20" s="98" t="e">
        <f>INDEX(guest_lists[tour_type],MATCH(AS20,guest_lists[guest_lists],0))</f>
        <v>#N/A</v>
      </c>
      <c r="AU20" s="86"/>
      <c r="AV20" s="90"/>
      <c r="AW20" s="91"/>
      <c r="AX20" s="92"/>
      <c r="AZ20" s="450"/>
      <c r="BA20" s="94" t="e">
        <f>INDEX(guest_lists[guest_lists],MATCH("party_2 G2",guest_lists[party],0))</f>
        <v>#N/A</v>
      </c>
      <c r="BB20" s="98" t="e">
        <f>INDEX(guest_lists[tour_type],MATCH(BA20,guest_lists[guest_lists],0))</f>
        <v>#N/A</v>
      </c>
      <c r="BC20" s="86"/>
      <c r="BD20" s="90"/>
      <c r="BE20" s="91"/>
      <c r="BF20" s="92"/>
      <c r="BH20" s="450"/>
      <c r="BI20" s="94" t="e">
        <f>INDEX(guest_lists[guest_lists],MATCH("party_2 G2",guest_lists[party],0))</f>
        <v>#N/A</v>
      </c>
      <c r="BJ20" s="98" t="e">
        <f>INDEX(guest_lists[tour_type],MATCH(BI20,guest_lists[guest_lists],0))</f>
        <v>#N/A</v>
      </c>
      <c r="BK20" s="86"/>
      <c r="BL20" s="90"/>
      <c r="BM20" s="91"/>
      <c r="BN20" s="243" t="s">
        <v>495</v>
      </c>
      <c r="BP20" s="450"/>
      <c r="BQ20" s="94" t="e">
        <f>INDEX(guest_lists[guest_lists],MATCH("party_2 G2",guest_lists[party],0))</f>
        <v>#N/A</v>
      </c>
      <c r="BR20" s="98" t="e">
        <f>INDEX(guest_lists[tour_type],MATCH(BQ20,guest_lists[guest_lists],0))</f>
        <v>#N/A</v>
      </c>
      <c r="BS20" s="86"/>
      <c r="BT20" s="90"/>
      <c r="BU20" s="91"/>
      <c r="BV20" s="300"/>
      <c r="BX20" s="450"/>
      <c r="BY20" s="94" t="e">
        <f>INDEX(guest_lists[guest_lists],MATCH("party_2 G2",guest_lists[party],0))</f>
        <v>#N/A</v>
      </c>
      <c r="BZ20" s="98" t="e">
        <f>INDEX(guest_lists[tour_type],MATCH(BY20,guest_lists[guest_lists],0))</f>
        <v>#N/A</v>
      </c>
      <c r="CA20" s="86"/>
      <c r="CB20" s="90"/>
      <c r="CC20" s="91"/>
      <c r="CD20" s="300"/>
      <c r="CF20" s="450"/>
      <c r="CG20" s="94" t="e">
        <f>INDEX(guest_lists[guest_lists],MATCH("party_2 G2",guest_lists[party],0))</f>
        <v>#N/A</v>
      </c>
      <c r="CH20" s="98" t="e">
        <f>INDEX(guest_lists[tour_type],MATCH(CG20,guest_lists[guest_lists],0))</f>
        <v>#N/A</v>
      </c>
      <c r="CI20" s="302"/>
      <c r="CJ20" s="306"/>
      <c r="CK20" s="307"/>
      <c r="CL20" s="300"/>
      <c r="CN20" s="450"/>
      <c r="CO20" s="94" t="e">
        <f>INDEX(guest_lists[guest_lists],MATCH("party_2 G2",guest_lists[party],0))</f>
        <v>#N/A</v>
      </c>
      <c r="CP20" s="98" t="e">
        <f>INDEX(guest_lists[tour_type],MATCH(CO20,guest_lists[guest_lists],0))</f>
        <v>#N/A</v>
      </c>
      <c r="CQ20" s="86"/>
      <c r="CR20" s="90"/>
      <c r="CS20" s="91"/>
      <c r="CT20" s="92"/>
    </row>
    <row r="21" spans="1:98" ht="43.2" customHeight="1" thickBot="1" x14ac:dyDescent="0.35">
      <c r="A21" s="212"/>
      <c r="B21" s="319"/>
      <c r="C21" s="215"/>
      <c r="D21" s="474" t="s">
        <v>182</v>
      </c>
      <c r="E21" s="289" t="str">
        <f>INDEX(guest_lists[guest_lists],MATCH("party_3 G1",guest_lists[party],0))</f>
        <v>Mark Morgan</v>
      </c>
      <c r="F21" s="289" t="str">
        <f>INDEX(guest_lists[tour_type],MATCH(E21,guest_lists[guest_lists],0))</f>
        <v>12 - DSCYT</v>
      </c>
      <c r="G21" s="93" t="s">
        <v>321</v>
      </c>
      <c r="H21" s="86" t="s">
        <v>192</v>
      </c>
      <c r="I21" s="87"/>
      <c r="J21" s="88"/>
      <c r="L21" s="449" t="s">
        <v>182</v>
      </c>
      <c r="M21" s="98" t="str">
        <f>INDEX(guest_lists[guest_lists],MATCH("party_3 G1",guest_lists[party],0))</f>
        <v>Mark Morgan</v>
      </c>
      <c r="N21" s="98" t="str">
        <f>INDEX(guest_lists[tour_type],MATCH(M21,guest_lists[guest_lists],0))</f>
        <v>12 - DSCYT</v>
      </c>
      <c r="O21" s="86" t="s">
        <v>459</v>
      </c>
      <c r="P21" s="86" t="s">
        <v>192</v>
      </c>
      <c r="Q21" s="87"/>
      <c r="R21" s="88"/>
      <c r="T21" s="449" t="s">
        <v>182</v>
      </c>
      <c r="U21" s="98" t="str">
        <f>INDEX(guest_lists[guest_lists],MATCH("party_3 G1",guest_lists[party],0))</f>
        <v>Mark Morgan</v>
      </c>
      <c r="V21" s="98" t="str">
        <f>INDEX(guest_lists[tour_type],MATCH(U21,guest_lists[guest_lists],0))</f>
        <v>12 - DSCYT</v>
      </c>
      <c r="W21" s="86" t="s">
        <v>148</v>
      </c>
      <c r="X21" s="86" t="s">
        <v>192</v>
      </c>
      <c r="Y21" s="87">
        <v>25</v>
      </c>
      <c r="Z21" s="88"/>
      <c r="AB21" s="449" t="s">
        <v>182</v>
      </c>
      <c r="AC21" s="98" t="str">
        <f>INDEX(guest_lists[guest_lists],MATCH("party_3 G1",guest_lists[party],0))</f>
        <v>Mark Morgan</v>
      </c>
      <c r="AD21" s="98" t="str">
        <f>INDEX(guest_lists[tour_type],MATCH(AC21,guest_lists[guest_lists],0))</f>
        <v>12 - DSCYT</v>
      </c>
      <c r="AE21" s="86" t="s">
        <v>278</v>
      </c>
      <c r="AF21" s="86" t="s">
        <v>192</v>
      </c>
      <c r="AG21" s="87"/>
      <c r="AH21" s="268"/>
      <c r="AJ21" s="449" t="s">
        <v>182</v>
      </c>
      <c r="AK21" s="98" t="str">
        <f>INDEX(guest_lists[guest_lists],MATCH("party_3 G1",guest_lists[party],0))</f>
        <v>Mark Morgan</v>
      </c>
      <c r="AL21" s="98" t="str">
        <f>INDEX(guest_lists[tour_type],MATCH(AK21,guest_lists[guest_lists],0))</f>
        <v>12 - DSCYT</v>
      </c>
      <c r="AM21" s="86" t="s">
        <v>149</v>
      </c>
      <c r="AN21" s="86" t="s">
        <v>192</v>
      </c>
      <c r="AO21" s="87"/>
      <c r="AP21" s="243" t="s">
        <v>490</v>
      </c>
      <c r="AR21" s="449" t="s">
        <v>182</v>
      </c>
      <c r="AS21" s="98" t="str">
        <f>INDEX(guest_lists[guest_lists],MATCH("party_3 G1",guest_lists[party],0))</f>
        <v>Mark Morgan</v>
      </c>
      <c r="AT21" s="98" t="str">
        <f>INDEX(guest_lists[tour_type],MATCH(AS21,guest_lists[guest_lists],0))</f>
        <v>12 - DSCYT</v>
      </c>
      <c r="AU21" s="86" t="s">
        <v>281</v>
      </c>
      <c r="AV21" s="86" t="s">
        <v>192</v>
      </c>
      <c r="AW21" s="87"/>
      <c r="AX21" s="88"/>
      <c r="AZ21" s="449" t="s">
        <v>182</v>
      </c>
      <c r="BA21" s="98" t="str">
        <f>INDEX(guest_lists[guest_lists],MATCH("party_3 G1",guest_lists[party],0))</f>
        <v>Mark Morgan</v>
      </c>
      <c r="BB21" s="98" t="str">
        <f>INDEX(guest_lists[tour_type],MATCH(BA21,guest_lists[guest_lists],0))</f>
        <v>12 - DSCYT</v>
      </c>
      <c r="BC21" s="86" t="s">
        <v>281</v>
      </c>
      <c r="BD21" s="86" t="s">
        <v>192</v>
      </c>
      <c r="BE21" s="87"/>
      <c r="BF21" s="88"/>
      <c r="BH21" s="449" t="s">
        <v>182</v>
      </c>
      <c r="BI21" s="98" t="str">
        <f>INDEX(guest_lists[guest_lists],MATCH("party_3 G1",guest_lists[party],0))</f>
        <v>Mark Morgan</v>
      </c>
      <c r="BJ21" s="98" t="str">
        <f>INDEX(guest_lists[tour_type],MATCH(BI21,guest_lists[guest_lists],0))</f>
        <v>12 - DSCYT</v>
      </c>
      <c r="BK21" s="86" t="s">
        <v>285</v>
      </c>
      <c r="BL21" s="86" t="s">
        <v>192</v>
      </c>
      <c r="BM21" s="87"/>
      <c r="BN21" s="243" t="s">
        <v>495</v>
      </c>
      <c r="BP21" s="449" t="s">
        <v>182</v>
      </c>
      <c r="BQ21" s="98" t="str">
        <f>INDEX(guest_lists[guest_lists],MATCH("party_3 G1",guest_lists[party],0))</f>
        <v>Mark Morgan</v>
      </c>
      <c r="BR21" s="98" t="str">
        <f>INDEX(guest_lists[tour_type],MATCH(BQ21,guest_lists[guest_lists],0))</f>
        <v>12 - DSCYT</v>
      </c>
      <c r="BS21" s="86" t="s">
        <v>150</v>
      </c>
      <c r="BT21" s="86" t="s">
        <v>192</v>
      </c>
      <c r="BU21" s="87"/>
      <c r="BV21" s="243" t="s">
        <v>497</v>
      </c>
      <c r="BX21" s="449" t="s">
        <v>182</v>
      </c>
      <c r="BY21" s="98" t="str">
        <f>INDEX(guest_lists[guest_lists],MATCH("party_3 G1",guest_lists[party],0))</f>
        <v>Mark Morgan</v>
      </c>
      <c r="BZ21" s="98" t="str">
        <f>INDEX(guest_lists[tour_type],MATCH(BY21,guest_lists[guest_lists],0))</f>
        <v>12 - DSCYT</v>
      </c>
      <c r="CA21" s="86" t="s">
        <v>150</v>
      </c>
      <c r="CB21" s="86" t="s">
        <v>192</v>
      </c>
      <c r="CC21" s="87"/>
      <c r="CD21" s="243" t="s">
        <v>501</v>
      </c>
      <c r="CF21" s="449" t="s">
        <v>182</v>
      </c>
      <c r="CG21" s="98" t="str">
        <f>INDEX(guest_lists[guest_lists],MATCH("party_3 G1",guest_lists[party],0))</f>
        <v>Mark Morgan</v>
      </c>
      <c r="CH21" s="98" t="str">
        <f>INDEX(guest_lists[tour_type],MATCH(CG21,guest_lists[guest_lists],0))</f>
        <v>12 - DSCYT</v>
      </c>
      <c r="CI21" s="302" t="s">
        <v>465</v>
      </c>
      <c r="CJ21" s="302" t="s">
        <v>192</v>
      </c>
      <c r="CK21" s="303"/>
      <c r="CL21" s="243"/>
      <c r="CN21" s="449" t="s">
        <v>182</v>
      </c>
      <c r="CO21" s="98" t="str">
        <f>INDEX(guest_lists[guest_lists],MATCH("party_3 G1",guest_lists[party],0))</f>
        <v>Mark Morgan</v>
      </c>
      <c r="CP21" s="98" t="str">
        <f>INDEX(guest_lists[tour_type],MATCH(CO21,guest_lists[guest_lists],0))</f>
        <v>12 - DSCYT</v>
      </c>
      <c r="CQ21" s="86"/>
      <c r="CR21" s="86"/>
      <c r="CS21" s="87"/>
      <c r="CT21" s="88"/>
    </row>
    <row r="22" spans="1:98" ht="58.8" thickTop="1" thickBot="1" x14ac:dyDescent="0.35">
      <c r="A22" s="212"/>
      <c r="B22" s="213"/>
      <c r="C22" s="215"/>
      <c r="D22" s="475"/>
      <c r="E22" s="290" t="str">
        <f>INDEX(guest_lists[guest_lists],MATCH("party_3 G2",guest_lists[party],0))</f>
        <v>Nicola Morgan</v>
      </c>
      <c r="F22" s="289" t="str">
        <f>INDEX(guest_lists[tour_type],MATCH(E22,guest_lists[guest_lists],0))</f>
        <v>12 - DSCYT</v>
      </c>
      <c r="G22" s="90" t="s">
        <v>321</v>
      </c>
      <c r="H22" s="90" t="s">
        <v>192</v>
      </c>
      <c r="I22" s="91"/>
      <c r="J22" s="92"/>
      <c r="L22" s="450"/>
      <c r="M22" s="94" t="str">
        <f>INDEX(guest_lists[guest_lists],MATCH("party_3 G2",guest_lists[party],0))</f>
        <v>Nicola Morgan</v>
      </c>
      <c r="N22" s="98" t="str">
        <f>INDEX(guest_lists[tour_type],MATCH(M22,guest_lists[guest_lists],0))</f>
        <v>12 - DSCYT</v>
      </c>
      <c r="O22" s="86" t="s">
        <v>459</v>
      </c>
      <c r="P22" s="90" t="s">
        <v>192</v>
      </c>
      <c r="Q22" s="91"/>
      <c r="R22" s="92"/>
      <c r="T22" s="450"/>
      <c r="U22" s="94" t="str">
        <f>INDEX(guest_lists[guest_lists],MATCH("party_3 G2",guest_lists[party],0))</f>
        <v>Nicola Morgan</v>
      </c>
      <c r="V22" s="98" t="str">
        <f>INDEX(guest_lists[tour_type],MATCH(U22,guest_lists[guest_lists],0))</f>
        <v>12 - DSCYT</v>
      </c>
      <c r="W22" s="86" t="s">
        <v>148</v>
      </c>
      <c r="X22" s="90" t="s">
        <v>192</v>
      </c>
      <c r="Y22" s="91">
        <v>25</v>
      </c>
      <c r="Z22" s="92"/>
      <c r="AB22" s="450"/>
      <c r="AC22" s="94" t="str">
        <f>INDEX(guest_lists[guest_lists],MATCH("party_3 G2",guest_lists[party],0))</f>
        <v>Nicola Morgan</v>
      </c>
      <c r="AD22" s="98" t="str">
        <f>INDEX(guest_lists[tour_type],MATCH(AC22,guest_lists[guest_lists],0))</f>
        <v>12 - DSCYT</v>
      </c>
      <c r="AE22" s="86" t="s">
        <v>278</v>
      </c>
      <c r="AF22" s="90" t="s">
        <v>192</v>
      </c>
      <c r="AG22" s="91"/>
      <c r="AH22" s="270"/>
      <c r="AJ22" s="450"/>
      <c r="AK22" s="94" t="str">
        <f>INDEX(guest_lists[guest_lists],MATCH("party_3 G2",guest_lists[party],0))</f>
        <v>Nicola Morgan</v>
      </c>
      <c r="AL22" s="98" t="str">
        <f>INDEX(guest_lists[tour_type],MATCH(AK22,guest_lists[guest_lists],0))</f>
        <v>12 - DSCYT</v>
      </c>
      <c r="AM22" s="86" t="s">
        <v>149</v>
      </c>
      <c r="AN22" s="90" t="s">
        <v>192</v>
      </c>
      <c r="AO22" s="91"/>
      <c r="AP22" s="300" t="s">
        <v>490</v>
      </c>
      <c r="AR22" s="450"/>
      <c r="AS22" s="94" t="str">
        <f>INDEX(guest_lists[guest_lists],MATCH("party_3 G2",guest_lists[party],0))</f>
        <v>Nicola Morgan</v>
      </c>
      <c r="AT22" s="98" t="str">
        <f>INDEX(guest_lists[tour_type],MATCH(AS22,guest_lists[guest_lists],0))</f>
        <v>12 - DSCYT</v>
      </c>
      <c r="AU22" s="86" t="s">
        <v>281</v>
      </c>
      <c r="AV22" s="90" t="s">
        <v>192</v>
      </c>
      <c r="AW22" s="91"/>
      <c r="AX22" s="92"/>
      <c r="AZ22" s="450"/>
      <c r="BA22" s="94" t="str">
        <f>INDEX(guest_lists[guest_lists],MATCH("party_3 G2",guest_lists[party],0))</f>
        <v>Nicola Morgan</v>
      </c>
      <c r="BB22" s="98" t="str">
        <f>INDEX(guest_lists[tour_type],MATCH(BA22,guest_lists[guest_lists],0))</f>
        <v>12 - DSCYT</v>
      </c>
      <c r="BC22" s="86" t="s">
        <v>281</v>
      </c>
      <c r="BD22" s="90" t="s">
        <v>192</v>
      </c>
      <c r="BE22" s="91"/>
      <c r="BF22" s="92"/>
      <c r="BH22" s="450"/>
      <c r="BI22" s="94" t="str">
        <f>INDEX(guest_lists[guest_lists],MATCH("party_3 G2",guest_lists[party],0))</f>
        <v>Nicola Morgan</v>
      </c>
      <c r="BJ22" s="98" t="str">
        <f>INDEX(guest_lists[tour_type],MATCH(BI22,guest_lists[guest_lists],0))</f>
        <v>12 - DSCYT</v>
      </c>
      <c r="BK22" s="86" t="s">
        <v>285</v>
      </c>
      <c r="BL22" s="90" t="s">
        <v>192</v>
      </c>
      <c r="BM22" s="91"/>
      <c r="BN22" s="243" t="s">
        <v>495</v>
      </c>
      <c r="BP22" s="450"/>
      <c r="BQ22" s="94" t="str">
        <f>INDEX(guest_lists[guest_lists],MATCH("party_3 G2",guest_lists[party],0))</f>
        <v>Nicola Morgan</v>
      </c>
      <c r="BR22" s="98" t="str">
        <f>INDEX(guest_lists[tour_type],MATCH(BQ22,guest_lists[guest_lists],0))</f>
        <v>12 - DSCYT</v>
      </c>
      <c r="BS22" s="86" t="s">
        <v>150</v>
      </c>
      <c r="BT22" s="90" t="s">
        <v>192</v>
      </c>
      <c r="BU22" s="91"/>
      <c r="BV22" s="300" t="s">
        <v>497</v>
      </c>
      <c r="BX22" s="450"/>
      <c r="BY22" s="94" t="str">
        <f>INDEX(guest_lists[guest_lists],MATCH("party_3 G2",guest_lists[party],0))</f>
        <v>Nicola Morgan</v>
      </c>
      <c r="BZ22" s="98" t="str">
        <f>INDEX(guest_lists[tour_type],MATCH(BY22,guest_lists[guest_lists],0))</f>
        <v>12 - DSCYT</v>
      </c>
      <c r="CA22" s="86" t="s">
        <v>150</v>
      </c>
      <c r="CB22" s="90" t="s">
        <v>192</v>
      </c>
      <c r="CC22" s="91"/>
      <c r="CD22" s="243" t="s">
        <v>501</v>
      </c>
      <c r="CF22" s="450"/>
      <c r="CG22" s="94" t="str">
        <f>INDEX(guest_lists[guest_lists],MATCH("party_3 G2",guest_lists[party],0))</f>
        <v>Nicola Morgan</v>
      </c>
      <c r="CH22" s="98" t="str">
        <f>INDEX(guest_lists[tour_type],MATCH(CG22,guest_lists[guest_lists],0))</f>
        <v>12 - DSCYT</v>
      </c>
      <c r="CI22" s="302" t="s">
        <v>465</v>
      </c>
      <c r="CJ22" s="306" t="s">
        <v>192</v>
      </c>
      <c r="CK22" s="307"/>
      <c r="CL22" s="300"/>
      <c r="CN22" s="450"/>
      <c r="CO22" s="94" t="str">
        <f>INDEX(guest_lists[guest_lists],MATCH("party_3 G2",guest_lists[party],0))</f>
        <v>Nicola Morgan</v>
      </c>
      <c r="CP22" s="98" t="str">
        <f>INDEX(guest_lists[tour_type],MATCH(CO22,guest_lists[guest_lists],0))</f>
        <v>12 - DSCYT</v>
      </c>
      <c r="CQ22" s="86"/>
      <c r="CR22" s="90"/>
      <c r="CS22" s="91"/>
      <c r="CT22" s="92"/>
    </row>
    <row r="23" spans="1:98" ht="58.8" thickTop="1" thickBot="1" x14ac:dyDescent="0.35">
      <c r="A23" s="212"/>
      <c r="B23" s="318" t="s">
        <v>268</v>
      </c>
      <c r="C23" s="215"/>
      <c r="D23" s="476" t="s">
        <v>183</v>
      </c>
      <c r="E23" s="291" t="str">
        <f>INDEX(guest_lists[guest_lists],MATCH("party_4 G1",guest_lists[party],0))</f>
        <v>Joan Roberts</v>
      </c>
      <c r="F23" s="291" t="str">
        <f>INDEX(guest_lists[tour_type],MATCH(E23,guest_lists[guest_lists],0))</f>
        <v>12 - DSCYT</v>
      </c>
      <c r="G23" s="93" t="s">
        <v>321</v>
      </c>
      <c r="H23" s="86" t="s">
        <v>470</v>
      </c>
      <c r="I23" s="87"/>
      <c r="J23" s="88"/>
      <c r="L23" s="449" t="s">
        <v>183</v>
      </c>
      <c r="M23" s="98" t="str">
        <f>INDEX(guest_lists[guest_lists],MATCH("party_4 G1",guest_lists[party],0))</f>
        <v>Joan Roberts</v>
      </c>
      <c r="N23" s="98" t="str">
        <f>INDEX(guest_lists[tour_type],MATCH(M23,guest_lists[guest_lists],0))</f>
        <v>12 - DSCYT</v>
      </c>
      <c r="O23" s="86" t="s">
        <v>459</v>
      </c>
      <c r="P23" s="86" t="s">
        <v>192</v>
      </c>
      <c r="Q23" s="87"/>
      <c r="R23" s="88"/>
      <c r="T23" s="449" t="s">
        <v>183</v>
      </c>
      <c r="U23" s="98" t="str">
        <f>INDEX(guest_lists[guest_lists],MATCH("party_4 G1",guest_lists[party],0))</f>
        <v>Joan Roberts</v>
      </c>
      <c r="V23" s="98" t="str">
        <f>INDEX(guest_lists[tour_type],MATCH(U23,guest_lists[guest_lists],0))</f>
        <v>12 - DSCYT</v>
      </c>
      <c r="W23" s="86" t="s">
        <v>148</v>
      </c>
      <c r="X23" s="86" t="s">
        <v>192</v>
      </c>
      <c r="Y23" s="87">
        <v>17</v>
      </c>
      <c r="Z23" s="88"/>
      <c r="AB23" s="449" t="s">
        <v>183</v>
      </c>
      <c r="AC23" s="98" t="str">
        <f>INDEX(guest_lists[guest_lists],MATCH("party_4 G1",guest_lists[party],0))</f>
        <v>Joan Roberts</v>
      </c>
      <c r="AD23" s="98" t="str">
        <f>INDEX(guest_lists[tour_type],MATCH(AC23,guest_lists[guest_lists],0))</f>
        <v>12 - DSCYT</v>
      </c>
      <c r="AE23" s="86" t="s">
        <v>278</v>
      </c>
      <c r="AF23" s="86" t="s">
        <v>192</v>
      </c>
      <c r="AG23" s="87"/>
      <c r="AH23" s="268"/>
      <c r="AJ23" s="449" t="s">
        <v>183</v>
      </c>
      <c r="AK23" s="98" t="str">
        <f>INDEX(guest_lists[guest_lists],MATCH("party_4 G1",guest_lists[party],0))</f>
        <v>Joan Roberts</v>
      </c>
      <c r="AL23" s="98" t="str">
        <f>INDEX(guest_lists[tour_type],MATCH(AK23,guest_lists[guest_lists],0))</f>
        <v>12 - DSCYT</v>
      </c>
      <c r="AM23" s="86" t="s">
        <v>149</v>
      </c>
      <c r="AN23" s="86" t="s">
        <v>191</v>
      </c>
      <c r="AO23" s="87"/>
      <c r="AP23" s="243" t="s">
        <v>491</v>
      </c>
      <c r="AR23" s="449" t="s">
        <v>183</v>
      </c>
      <c r="AS23" s="98" t="str">
        <f>INDEX(guest_lists[guest_lists],MATCH("party_4 G1",guest_lists[party],0))</f>
        <v>Joan Roberts</v>
      </c>
      <c r="AT23" s="98" t="str">
        <f>INDEX(guest_lists[tour_type],MATCH(AS23,guest_lists[guest_lists],0))</f>
        <v>12 - DSCYT</v>
      </c>
      <c r="AU23" s="86" t="s">
        <v>281</v>
      </c>
      <c r="AV23" s="86" t="s">
        <v>192</v>
      </c>
      <c r="AW23" s="87"/>
      <c r="AX23" s="88"/>
      <c r="AZ23" s="449" t="s">
        <v>183</v>
      </c>
      <c r="BA23" s="98" t="str">
        <f>INDEX(guest_lists[guest_lists],MATCH("party_4 G1",guest_lists[party],0))</f>
        <v>Joan Roberts</v>
      </c>
      <c r="BB23" s="98" t="str">
        <f>INDEX(guest_lists[tour_type],MATCH(BA23,guest_lists[guest_lists],0))</f>
        <v>12 - DSCYT</v>
      </c>
      <c r="BC23" s="86" t="s">
        <v>281</v>
      </c>
      <c r="BD23" s="86" t="s">
        <v>192</v>
      </c>
      <c r="BE23" s="87"/>
      <c r="BF23" s="88"/>
      <c r="BH23" s="449" t="s">
        <v>183</v>
      </c>
      <c r="BI23" s="98" t="str">
        <f>INDEX(guest_lists[guest_lists],MATCH("party_4 G1",guest_lists[party],0))</f>
        <v>Joan Roberts</v>
      </c>
      <c r="BJ23" s="98" t="str">
        <f>INDEX(guest_lists[tour_type],MATCH(BI23,guest_lists[guest_lists],0))</f>
        <v>12 - DSCYT</v>
      </c>
      <c r="BK23" s="86" t="s">
        <v>285</v>
      </c>
      <c r="BL23" s="86" t="s">
        <v>192</v>
      </c>
      <c r="BM23" s="87"/>
      <c r="BN23" s="243" t="s">
        <v>495</v>
      </c>
      <c r="BP23" s="449" t="s">
        <v>183</v>
      </c>
      <c r="BQ23" s="98" t="str">
        <f>INDEX(guest_lists[guest_lists],MATCH("party_4 G1",guest_lists[party],0))</f>
        <v>Joan Roberts</v>
      </c>
      <c r="BR23" s="98" t="str">
        <f>INDEX(guest_lists[tour_type],MATCH(BQ23,guest_lists[guest_lists],0))</f>
        <v>12 - DSCYT</v>
      </c>
      <c r="BS23" s="86" t="s">
        <v>150</v>
      </c>
      <c r="BT23" s="86" t="s">
        <v>192</v>
      </c>
      <c r="BU23" s="87"/>
      <c r="BV23" s="243" t="s">
        <v>498</v>
      </c>
      <c r="BX23" s="449" t="s">
        <v>183</v>
      </c>
      <c r="BY23" s="98" t="str">
        <f>INDEX(guest_lists[guest_lists],MATCH("party_4 G1",guest_lists[party],0))</f>
        <v>Joan Roberts</v>
      </c>
      <c r="BZ23" s="98" t="str">
        <f>INDEX(guest_lists[tour_type],MATCH(BY23,guest_lists[guest_lists],0))</f>
        <v>12 - DSCYT</v>
      </c>
      <c r="CA23" s="86" t="s">
        <v>150</v>
      </c>
      <c r="CB23" s="86" t="s">
        <v>192</v>
      </c>
      <c r="CC23" s="87"/>
      <c r="CD23" s="243" t="s">
        <v>501</v>
      </c>
      <c r="CF23" s="449" t="s">
        <v>183</v>
      </c>
      <c r="CG23" s="98" t="str">
        <f>INDEX(guest_lists[guest_lists],MATCH("party_4 G1",guest_lists[party],0))</f>
        <v>Joan Roberts</v>
      </c>
      <c r="CH23" s="98" t="str">
        <f>INDEX(guest_lists[tour_type],MATCH(CG23,guest_lists[guest_lists],0))</f>
        <v>12 - DSCYT</v>
      </c>
      <c r="CI23" s="302" t="s">
        <v>465</v>
      </c>
      <c r="CJ23" s="302" t="s">
        <v>192</v>
      </c>
      <c r="CK23" s="303"/>
      <c r="CL23" s="243"/>
      <c r="CN23" s="449" t="s">
        <v>183</v>
      </c>
      <c r="CO23" s="98" t="str">
        <f>INDEX(guest_lists[guest_lists],MATCH("party_4 G1",guest_lists[party],0))</f>
        <v>Joan Roberts</v>
      </c>
      <c r="CP23" s="98" t="str">
        <f>INDEX(guest_lists[tour_type],MATCH(CO23,guest_lists[guest_lists],0))</f>
        <v>12 - DSCYT</v>
      </c>
      <c r="CQ23" s="86"/>
      <c r="CR23" s="86"/>
      <c r="CS23" s="87"/>
      <c r="CT23" s="88"/>
    </row>
    <row r="24" spans="1:98" ht="58.2" thickBot="1" x14ac:dyDescent="0.35">
      <c r="A24" s="212"/>
      <c r="B24" s="319"/>
      <c r="C24" s="215"/>
      <c r="D24" s="477"/>
      <c r="E24" s="292" t="str">
        <f>INDEX(guest_lists[guest_lists],MATCH("party_4 G2",guest_lists[party],0))</f>
        <v>Valerie Mead</v>
      </c>
      <c r="F24" s="291" t="str">
        <f>INDEX(guest_lists[tour_type],MATCH(E24,guest_lists[guest_lists],0))</f>
        <v>12 - DSCYT</v>
      </c>
      <c r="G24" s="90" t="s">
        <v>321</v>
      </c>
      <c r="H24" s="90" t="s">
        <v>470</v>
      </c>
      <c r="I24" s="91"/>
      <c r="J24" s="92"/>
      <c r="L24" s="450"/>
      <c r="M24" s="94" t="str">
        <f>INDEX(guest_lists[guest_lists],MATCH("party_4 G2",guest_lists[party],0))</f>
        <v>Valerie Mead</v>
      </c>
      <c r="N24" s="98" t="str">
        <f>INDEX(guest_lists[tour_type],MATCH(M24,guest_lists[guest_lists],0))</f>
        <v>12 - DSCYT</v>
      </c>
      <c r="O24" s="86" t="s">
        <v>459</v>
      </c>
      <c r="P24" s="90" t="s">
        <v>192</v>
      </c>
      <c r="Q24" s="91"/>
      <c r="R24" s="92"/>
      <c r="T24" s="450"/>
      <c r="U24" s="94" t="str">
        <f>INDEX(guest_lists[guest_lists],MATCH("party_4 G2",guest_lists[party],0))</f>
        <v>Valerie Mead</v>
      </c>
      <c r="V24" s="98" t="str">
        <f>INDEX(guest_lists[tour_type],MATCH(U24,guest_lists[guest_lists],0))</f>
        <v>12 - DSCYT</v>
      </c>
      <c r="W24" s="86" t="s">
        <v>148</v>
      </c>
      <c r="X24" s="90" t="s">
        <v>192</v>
      </c>
      <c r="Y24" s="91">
        <v>17</v>
      </c>
      <c r="Z24" s="92"/>
      <c r="AB24" s="450"/>
      <c r="AC24" s="94" t="str">
        <f>INDEX(guest_lists[guest_lists],MATCH("party_4 G2",guest_lists[party],0))</f>
        <v>Valerie Mead</v>
      </c>
      <c r="AD24" s="98" t="str">
        <f>INDEX(guest_lists[tour_type],MATCH(AC24,guest_lists[guest_lists],0))</f>
        <v>12 - DSCYT</v>
      </c>
      <c r="AE24" s="86" t="s">
        <v>278</v>
      </c>
      <c r="AF24" s="90" t="s">
        <v>192</v>
      </c>
      <c r="AG24" s="91"/>
      <c r="AH24" s="270"/>
      <c r="AJ24" s="450"/>
      <c r="AK24" s="94" t="str">
        <f>INDEX(guest_lists[guest_lists],MATCH("party_4 G2",guest_lists[party],0))</f>
        <v>Valerie Mead</v>
      </c>
      <c r="AL24" s="98" t="str">
        <f>INDEX(guest_lists[tour_type],MATCH(AK24,guest_lists[guest_lists],0))</f>
        <v>12 - DSCYT</v>
      </c>
      <c r="AM24" s="86" t="s">
        <v>149</v>
      </c>
      <c r="AN24" s="90" t="s">
        <v>191</v>
      </c>
      <c r="AO24" s="91"/>
      <c r="AP24" s="243" t="s">
        <v>491</v>
      </c>
      <c r="AR24" s="450"/>
      <c r="AS24" s="94" t="str">
        <f>INDEX(guest_lists[guest_lists],MATCH("party_4 G2",guest_lists[party],0))</f>
        <v>Valerie Mead</v>
      </c>
      <c r="AT24" s="98" t="str">
        <f>INDEX(guest_lists[tour_type],MATCH(AS24,guest_lists[guest_lists],0))</f>
        <v>12 - DSCYT</v>
      </c>
      <c r="AU24" s="86" t="s">
        <v>281</v>
      </c>
      <c r="AV24" s="90" t="s">
        <v>192</v>
      </c>
      <c r="AW24" s="91"/>
      <c r="AX24" s="92"/>
      <c r="AZ24" s="450"/>
      <c r="BA24" s="94" t="str">
        <f>INDEX(guest_lists[guest_lists],MATCH("party_4 G2",guest_lists[party],0))</f>
        <v>Valerie Mead</v>
      </c>
      <c r="BB24" s="98" t="str">
        <f>INDEX(guest_lists[tour_type],MATCH(BA24,guest_lists[guest_lists],0))</f>
        <v>12 - DSCYT</v>
      </c>
      <c r="BC24" s="86" t="s">
        <v>281</v>
      </c>
      <c r="BD24" s="90" t="s">
        <v>192</v>
      </c>
      <c r="BE24" s="91"/>
      <c r="BF24" s="92"/>
      <c r="BH24" s="450"/>
      <c r="BI24" s="94" t="str">
        <f>INDEX(guest_lists[guest_lists],MATCH("party_4 G2",guest_lists[party],0))</f>
        <v>Valerie Mead</v>
      </c>
      <c r="BJ24" s="98" t="str">
        <f>INDEX(guest_lists[tour_type],MATCH(BI24,guest_lists[guest_lists],0))</f>
        <v>12 - DSCYT</v>
      </c>
      <c r="BK24" s="86" t="s">
        <v>285</v>
      </c>
      <c r="BL24" s="90" t="s">
        <v>192</v>
      </c>
      <c r="BM24" s="91"/>
      <c r="BN24" s="243" t="s">
        <v>495</v>
      </c>
      <c r="BP24" s="450"/>
      <c r="BQ24" s="94" t="str">
        <f>INDEX(guest_lists[guest_lists],MATCH("party_4 G2",guest_lists[party],0))</f>
        <v>Valerie Mead</v>
      </c>
      <c r="BR24" s="98" t="str">
        <f>INDEX(guest_lists[tour_type],MATCH(BQ24,guest_lists[guest_lists],0))</f>
        <v>12 - DSCYT</v>
      </c>
      <c r="BS24" s="86" t="s">
        <v>150</v>
      </c>
      <c r="BT24" s="90" t="s">
        <v>192</v>
      </c>
      <c r="BU24" s="91"/>
      <c r="BV24" s="243" t="s">
        <v>498</v>
      </c>
      <c r="BX24" s="450"/>
      <c r="BY24" s="94" t="str">
        <f>INDEX(guest_lists[guest_lists],MATCH("party_4 G2",guest_lists[party],0))</f>
        <v>Valerie Mead</v>
      </c>
      <c r="BZ24" s="98" t="str">
        <f>INDEX(guest_lists[tour_type],MATCH(BY24,guest_lists[guest_lists],0))</f>
        <v>12 - DSCYT</v>
      </c>
      <c r="CA24" s="86" t="s">
        <v>150</v>
      </c>
      <c r="CB24" s="90" t="s">
        <v>192</v>
      </c>
      <c r="CC24" s="91"/>
      <c r="CD24" s="243" t="s">
        <v>501</v>
      </c>
      <c r="CF24" s="450"/>
      <c r="CG24" s="94" t="str">
        <f>INDEX(guest_lists[guest_lists],MATCH("party_4 G2",guest_lists[party],0))</f>
        <v>Valerie Mead</v>
      </c>
      <c r="CH24" s="98" t="str">
        <f>INDEX(guest_lists[tour_type],MATCH(CG24,guest_lists[guest_lists],0))</f>
        <v>12 - DSCYT</v>
      </c>
      <c r="CI24" s="302" t="s">
        <v>465</v>
      </c>
      <c r="CJ24" s="306" t="s">
        <v>192</v>
      </c>
      <c r="CK24" s="307"/>
      <c r="CL24" s="300"/>
      <c r="CN24" s="450"/>
      <c r="CO24" s="94" t="str">
        <f>INDEX(guest_lists[guest_lists],MATCH("party_4 G2",guest_lists[party],0))</f>
        <v>Valerie Mead</v>
      </c>
      <c r="CP24" s="98" t="str">
        <f>INDEX(guest_lists[tour_type],MATCH(CO24,guest_lists[guest_lists],0))</f>
        <v>12 - DSCYT</v>
      </c>
      <c r="CQ24" s="86"/>
      <c r="CR24" s="90"/>
      <c r="CS24" s="91"/>
      <c r="CT24" s="92"/>
    </row>
    <row r="25" spans="1:98" ht="58.8" thickTop="1" thickBot="1" x14ac:dyDescent="0.35">
      <c r="A25" s="212"/>
      <c r="B25" s="213"/>
      <c r="C25" s="215"/>
      <c r="D25" s="466" t="s">
        <v>184</v>
      </c>
      <c r="E25" s="293" t="str">
        <f>INDEX(guest_lists[guest_lists],MATCH("party_5 G1",guest_lists[party],0))</f>
        <v>Ann Berriman</v>
      </c>
      <c r="F25" s="293" t="str">
        <f>INDEX(guest_lists[tour_type],MATCH(E25,guest_lists[guest_lists],0))</f>
        <v>12 - DSCYT</v>
      </c>
      <c r="G25" s="93" t="s">
        <v>321</v>
      </c>
      <c r="H25" s="86" t="s">
        <v>192</v>
      </c>
      <c r="I25" s="87"/>
      <c r="J25" s="88" t="s">
        <v>471</v>
      </c>
      <c r="L25" s="449" t="s">
        <v>184</v>
      </c>
      <c r="M25" s="98" t="str">
        <f>INDEX(guest_lists[guest_lists],MATCH("party_5 G1",guest_lists[party],0))</f>
        <v>Ann Berriman</v>
      </c>
      <c r="N25" s="98" t="str">
        <f>INDEX(guest_lists[tour_type],MATCH(M25,guest_lists[guest_lists],0))</f>
        <v>12 - DSCYT</v>
      </c>
      <c r="O25" s="86" t="s">
        <v>459</v>
      </c>
      <c r="P25" s="86" t="s">
        <v>192</v>
      </c>
      <c r="Q25" s="87"/>
      <c r="R25" s="88"/>
      <c r="T25" s="449" t="s">
        <v>184</v>
      </c>
      <c r="U25" s="98" t="str">
        <f>INDEX(guest_lists[guest_lists],MATCH("party_5 G1",guest_lists[party],0))</f>
        <v>Ann Berriman</v>
      </c>
      <c r="V25" s="98" t="str">
        <f>INDEX(guest_lists[tour_type],MATCH(U25,guest_lists[guest_lists],0))</f>
        <v>12 - DSCYT</v>
      </c>
      <c r="W25" s="86" t="s">
        <v>148</v>
      </c>
      <c r="X25" s="86" t="s">
        <v>192</v>
      </c>
      <c r="Y25" s="87">
        <v>18</v>
      </c>
      <c r="Z25" s="88"/>
      <c r="AB25" s="449" t="s">
        <v>184</v>
      </c>
      <c r="AC25" s="98" t="str">
        <f>INDEX(guest_lists[guest_lists],MATCH("party_5 G1",guest_lists[party],0))</f>
        <v>Ann Berriman</v>
      </c>
      <c r="AD25" s="98" t="str">
        <f>INDEX(guest_lists[tour_type],MATCH(AC25,guest_lists[guest_lists],0))</f>
        <v>12 - DSCYT</v>
      </c>
      <c r="AE25" s="86" t="s">
        <v>462</v>
      </c>
      <c r="AF25" s="86" t="s">
        <v>470</v>
      </c>
      <c r="AG25" s="87"/>
      <c r="AH25" s="268"/>
      <c r="AJ25" s="449" t="s">
        <v>184</v>
      </c>
      <c r="AK25" s="98" t="str">
        <f>INDEX(guest_lists[guest_lists],MATCH("party_5 G1",guest_lists[party],0))</f>
        <v>Ann Berriman</v>
      </c>
      <c r="AL25" s="98" t="str">
        <f>INDEX(guest_lists[tour_type],MATCH(AK25,guest_lists[guest_lists],0))</f>
        <v>12 - DSCYT</v>
      </c>
      <c r="AM25" s="86" t="s">
        <v>149</v>
      </c>
      <c r="AN25" s="86" t="s">
        <v>191</v>
      </c>
      <c r="AO25" s="87"/>
      <c r="AP25" s="243" t="s">
        <v>491</v>
      </c>
      <c r="AR25" s="449" t="s">
        <v>184</v>
      </c>
      <c r="AS25" s="98" t="str">
        <f>INDEX(guest_lists[guest_lists],MATCH("party_5 G1",guest_lists[party],0))</f>
        <v>Ann Berriman</v>
      </c>
      <c r="AT25" s="98" t="str">
        <f>INDEX(guest_lists[tour_type],MATCH(AS25,guest_lists[guest_lists],0))</f>
        <v>12 - DSCYT</v>
      </c>
      <c r="AU25" s="86" t="s">
        <v>281</v>
      </c>
      <c r="AV25" s="86" t="s">
        <v>192</v>
      </c>
      <c r="AW25" s="87"/>
      <c r="AX25" s="88"/>
      <c r="AZ25" s="449" t="s">
        <v>184</v>
      </c>
      <c r="BA25" s="98" t="str">
        <f>INDEX(guest_lists[guest_lists],MATCH("party_5 G1",guest_lists[party],0))</f>
        <v>Ann Berriman</v>
      </c>
      <c r="BB25" s="98" t="str">
        <f>INDEX(guest_lists[tour_type],MATCH(BA25,guest_lists[guest_lists],0))</f>
        <v>12 - DSCYT</v>
      </c>
      <c r="BC25" s="86" t="s">
        <v>281</v>
      </c>
      <c r="BD25" s="86" t="s">
        <v>192</v>
      </c>
      <c r="BE25" s="87"/>
      <c r="BF25" s="88"/>
      <c r="BH25" s="449" t="s">
        <v>184</v>
      </c>
      <c r="BI25" s="98" t="str">
        <f>INDEX(guest_lists[guest_lists],MATCH("party_5 G1",guest_lists[party],0))</f>
        <v>Ann Berriman</v>
      </c>
      <c r="BJ25" s="98" t="str">
        <f>INDEX(guest_lists[tour_type],MATCH(BI25,guest_lists[guest_lists],0))</f>
        <v>12 - DSCYT</v>
      </c>
      <c r="BK25" s="86" t="s">
        <v>285</v>
      </c>
      <c r="BL25" s="86" t="s">
        <v>192</v>
      </c>
      <c r="BM25" s="87"/>
      <c r="BN25" s="243" t="s">
        <v>495</v>
      </c>
      <c r="BP25" s="449" t="s">
        <v>184</v>
      </c>
      <c r="BQ25" s="98" t="str">
        <f>INDEX(guest_lists[guest_lists],MATCH("party_5 G1",guest_lists[party],0))</f>
        <v>Ann Berriman</v>
      </c>
      <c r="BR25" s="98" t="str">
        <f>INDEX(guest_lists[tour_type],MATCH(BQ25,guest_lists[guest_lists],0))</f>
        <v>12 - DSCYT</v>
      </c>
      <c r="BS25" s="86" t="s">
        <v>150</v>
      </c>
      <c r="BT25" s="86" t="s">
        <v>192</v>
      </c>
      <c r="BU25" s="87"/>
      <c r="BV25" s="243" t="s">
        <v>498</v>
      </c>
      <c r="BX25" s="449" t="s">
        <v>184</v>
      </c>
      <c r="BY25" s="98" t="str">
        <f>INDEX(guest_lists[guest_lists],MATCH("party_5 G1",guest_lists[party],0))</f>
        <v>Ann Berriman</v>
      </c>
      <c r="BZ25" s="98" t="str">
        <f>INDEX(guest_lists[tour_type],MATCH(BY25,guest_lists[guest_lists],0))</f>
        <v>12 - DSCYT</v>
      </c>
      <c r="CA25" s="86" t="s">
        <v>150</v>
      </c>
      <c r="CB25" s="86" t="s">
        <v>192</v>
      </c>
      <c r="CC25" s="87"/>
      <c r="CD25" s="243" t="s">
        <v>501</v>
      </c>
      <c r="CF25" s="449" t="s">
        <v>184</v>
      </c>
      <c r="CG25" s="98" t="str">
        <f>INDEX(guest_lists[guest_lists],MATCH("party_5 G1",guest_lists[party],0))</f>
        <v>Ann Berriman</v>
      </c>
      <c r="CH25" s="98" t="str">
        <f>INDEX(guest_lists[tour_type],MATCH(CG25,guest_lists[guest_lists],0))</f>
        <v>12 - DSCYT</v>
      </c>
      <c r="CI25" s="302" t="s">
        <v>465</v>
      </c>
      <c r="CJ25" s="302" t="s">
        <v>192</v>
      </c>
      <c r="CK25" s="303"/>
      <c r="CL25" s="243"/>
      <c r="CN25" s="449" t="s">
        <v>184</v>
      </c>
      <c r="CO25" s="98" t="str">
        <f>INDEX(guest_lists[guest_lists],MATCH("party_5 G1",guest_lists[party],0))</f>
        <v>Ann Berriman</v>
      </c>
      <c r="CP25" s="98" t="str">
        <f>INDEX(guest_lists[tour_type],MATCH(CO25,guest_lists[guest_lists],0))</f>
        <v>12 - DSCYT</v>
      </c>
      <c r="CQ25" s="86"/>
      <c r="CR25" s="86"/>
      <c r="CS25" s="87"/>
      <c r="CT25" s="88"/>
    </row>
    <row r="26" spans="1:98" ht="58.8" thickTop="1" thickBot="1" x14ac:dyDescent="0.35">
      <c r="A26" s="212"/>
      <c r="B26" s="318" t="s">
        <v>269</v>
      </c>
      <c r="C26" s="215"/>
      <c r="D26" s="467"/>
      <c r="E26" s="294" t="str">
        <f>INDEX(guest_lists[guest_lists],MATCH("party_5 G2",guest_lists[party],0))</f>
        <v>Wanda Drost</v>
      </c>
      <c r="F26" s="293" t="str">
        <f>INDEX(guest_lists[tour_type],MATCH(E26,guest_lists[guest_lists],0))</f>
        <v>12 - DSCYT</v>
      </c>
      <c r="G26" s="90" t="s">
        <v>321</v>
      </c>
      <c r="H26" s="90" t="s">
        <v>192</v>
      </c>
      <c r="I26" s="91"/>
      <c r="J26" s="92"/>
      <c r="L26" s="450"/>
      <c r="M26" s="94" t="str">
        <f>INDEX(guest_lists[guest_lists],MATCH("party_5 G2",guest_lists[party],0))</f>
        <v>Wanda Drost</v>
      </c>
      <c r="N26" s="98" t="str">
        <f>INDEX(guest_lists[tour_type],MATCH(M26,guest_lists[guest_lists],0))</f>
        <v>12 - DSCYT</v>
      </c>
      <c r="O26" s="86" t="s">
        <v>459</v>
      </c>
      <c r="P26" s="90" t="s">
        <v>192</v>
      </c>
      <c r="Q26" s="91"/>
      <c r="R26" s="92"/>
      <c r="T26" s="450"/>
      <c r="U26" s="94" t="str">
        <f>INDEX(guest_lists[guest_lists],MATCH("party_5 G2",guest_lists[party],0))</f>
        <v>Wanda Drost</v>
      </c>
      <c r="V26" s="98" t="str">
        <f>INDEX(guest_lists[tour_type],MATCH(U26,guest_lists[guest_lists],0))</f>
        <v>12 - DSCYT</v>
      </c>
      <c r="W26" s="86" t="s">
        <v>148</v>
      </c>
      <c r="X26" s="90" t="s">
        <v>192</v>
      </c>
      <c r="Y26" s="91">
        <v>18</v>
      </c>
      <c r="Z26" s="92"/>
      <c r="AB26" s="450"/>
      <c r="AC26" s="94" t="str">
        <f>INDEX(guest_lists[guest_lists],MATCH("party_5 G2",guest_lists[party],0))</f>
        <v>Wanda Drost</v>
      </c>
      <c r="AD26" s="98" t="str">
        <f>INDEX(guest_lists[tour_type],MATCH(AC26,guest_lists[guest_lists],0))</f>
        <v>12 - DSCYT</v>
      </c>
      <c r="AE26" s="86" t="s">
        <v>462</v>
      </c>
      <c r="AF26" s="90" t="s">
        <v>470</v>
      </c>
      <c r="AG26" s="91"/>
      <c r="AH26" s="270"/>
      <c r="AJ26" s="450"/>
      <c r="AK26" s="94" t="str">
        <f>INDEX(guest_lists[guest_lists],MATCH("party_5 G2",guest_lists[party],0))</f>
        <v>Wanda Drost</v>
      </c>
      <c r="AL26" s="98" t="str">
        <f>INDEX(guest_lists[tour_type],MATCH(AK26,guest_lists[guest_lists],0))</f>
        <v>12 - DSCYT</v>
      </c>
      <c r="AM26" s="86" t="s">
        <v>149</v>
      </c>
      <c r="AN26" s="90" t="s">
        <v>191</v>
      </c>
      <c r="AO26" s="91"/>
      <c r="AP26" s="243" t="s">
        <v>491</v>
      </c>
      <c r="AR26" s="450"/>
      <c r="AS26" s="94" t="str">
        <f>INDEX(guest_lists[guest_lists],MATCH("party_5 G2",guest_lists[party],0))</f>
        <v>Wanda Drost</v>
      </c>
      <c r="AT26" s="98" t="str">
        <f>INDEX(guest_lists[tour_type],MATCH(AS26,guest_lists[guest_lists],0))</f>
        <v>12 - DSCYT</v>
      </c>
      <c r="AU26" s="86" t="s">
        <v>281</v>
      </c>
      <c r="AV26" s="90" t="s">
        <v>192</v>
      </c>
      <c r="AW26" s="91"/>
      <c r="AX26" s="92"/>
      <c r="AZ26" s="450"/>
      <c r="BA26" s="94" t="str">
        <f>INDEX(guest_lists[guest_lists],MATCH("party_5 G2",guest_lists[party],0))</f>
        <v>Wanda Drost</v>
      </c>
      <c r="BB26" s="98" t="str">
        <f>INDEX(guest_lists[tour_type],MATCH(BA26,guest_lists[guest_lists],0))</f>
        <v>12 - DSCYT</v>
      </c>
      <c r="BC26" s="86" t="s">
        <v>281</v>
      </c>
      <c r="BD26" s="90" t="s">
        <v>192</v>
      </c>
      <c r="BE26" s="91"/>
      <c r="BF26" s="92"/>
      <c r="BH26" s="450"/>
      <c r="BI26" s="94" t="str">
        <f>INDEX(guest_lists[guest_lists],MATCH("party_5 G2",guest_lists[party],0))</f>
        <v>Wanda Drost</v>
      </c>
      <c r="BJ26" s="98" t="str">
        <f>INDEX(guest_lists[tour_type],MATCH(BI26,guest_lists[guest_lists],0))</f>
        <v>12 - DSCYT</v>
      </c>
      <c r="BK26" s="86" t="s">
        <v>285</v>
      </c>
      <c r="BL26" s="90" t="s">
        <v>192</v>
      </c>
      <c r="BM26" s="91"/>
      <c r="BN26" s="243" t="s">
        <v>495</v>
      </c>
      <c r="BP26" s="450"/>
      <c r="BQ26" s="94" t="str">
        <f>INDEX(guest_lists[guest_lists],MATCH("party_5 G2",guest_lists[party],0))</f>
        <v>Wanda Drost</v>
      </c>
      <c r="BR26" s="98" t="str">
        <f>INDEX(guest_lists[tour_type],MATCH(BQ26,guest_lists[guest_lists],0))</f>
        <v>12 - DSCYT</v>
      </c>
      <c r="BS26" s="86" t="s">
        <v>150</v>
      </c>
      <c r="BT26" s="90" t="s">
        <v>192</v>
      </c>
      <c r="BU26" s="91"/>
      <c r="BV26" s="300" t="s">
        <v>498</v>
      </c>
      <c r="BX26" s="450"/>
      <c r="BY26" s="94" t="str">
        <f>INDEX(guest_lists[guest_lists],MATCH("party_5 G2",guest_lists[party],0))</f>
        <v>Wanda Drost</v>
      </c>
      <c r="BZ26" s="98" t="str">
        <f>INDEX(guest_lists[tour_type],MATCH(BY26,guest_lists[guest_lists],0))</f>
        <v>12 - DSCYT</v>
      </c>
      <c r="CA26" s="86" t="s">
        <v>150</v>
      </c>
      <c r="CB26" s="90" t="s">
        <v>192</v>
      </c>
      <c r="CC26" s="91"/>
      <c r="CD26" s="243" t="s">
        <v>501</v>
      </c>
      <c r="CF26" s="450"/>
      <c r="CG26" s="94" t="str">
        <f>INDEX(guest_lists[guest_lists],MATCH("party_5 G2",guest_lists[party],0))</f>
        <v>Wanda Drost</v>
      </c>
      <c r="CH26" s="98" t="str">
        <f>INDEX(guest_lists[tour_type],MATCH(CG26,guest_lists[guest_lists],0))</f>
        <v>12 - DSCYT</v>
      </c>
      <c r="CI26" s="302" t="s">
        <v>465</v>
      </c>
      <c r="CJ26" s="306" t="s">
        <v>192</v>
      </c>
      <c r="CK26" s="307"/>
      <c r="CL26" s="300"/>
      <c r="CN26" s="450"/>
      <c r="CO26" s="94" t="str">
        <f>INDEX(guest_lists[guest_lists],MATCH("party_5 G2",guest_lists[party],0))</f>
        <v>Wanda Drost</v>
      </c>
      <c r="CP26" s="98" t="str">
        <f>INDEX(guest_lists[tour_type],MATCH(CO26,guest_lists[guest_lists],0))</f>
        <v>12 - DSCYT</v>
      </c>
      <c r="CQ26" s="86"/>
      <c r="CR26" s="90"/>
      <c r="CS26" s="91"/>
      <c r="CT26" s="92"/>
    </row>
    <row r="27" spans="1:98" ht="43.2" customHeight="1" thickBot="1" x14ac:dyDescent="0.35">
      <c r="A27" s="212"/>
      <c r="B27" s="319"/>
      <c r="C27" s="215"/>
      <c r="D27" s="468" t="s">
        <v>185</v>
      </c>
      <c r="E27" s="295" t="str">
        <f>INDEX(guest_lists[guest_lists],MATCH("party_6 G1",guest_lists[party],0))</f>
        <v>Ian Neil</v>
      </c>
      <c r="F27" s="295" t="str">
        <f>INDEX(guest_lists[tour_type],MATCH(E27,guest_lists[guest_lists],0))</f>
        <v>5 - DTT</v>
      </c>
      <c r="G27" s="93" t="s">
        <v>321</v>
      </c>
      <c r="H27" s="86" t="s">
        <v>192</v>
      </c>
      <c r="I27" s="87"/>
      <c r="J27" s="88"/>
      <c r="L27" s="449" t="s">
        <v>185</v>
      </c>
      <c r="M27" s="98" t="str">
        <f>INDEX(guest_lists[guest_lists],MATCH("party_6 G1",guest_lists[party],0))</f>
        <v>Ian Neil</v>
      </c>
      <c r="N27" s="98" t="str">
        <f>INDEX(guest_lists[tour_type],MATCH(M27,guest_lists[guest_lists],0))</f>
        <v>5 - DTT</v>
      </c>
      <c r="O27" s="86" t="s">
        <v>459</v>
      </c>
      <c r="P27" s="86" t="s">
        <v>192</v>
      </c>
      <c r="Q27" s="87"/>
      <c r="R27" s="88"/>
      <c r="T27" s="449" t="s">
        <v>185</v>
      </c>
      <c r="U27" s="98" t="str">
        <f>INDEX(guest_lists[guest_lists],MATCH("party_6 G1",guest_lists[party],0))</f>
        <v>Ian Neil</v>
      </c>
      <c r="V27" s="98" t="str">
        <f>INDEX(guest_lists[tour_type],MATCH(U27,guest_lists[guest_lists],0))</f>
        <v>5 - DTT</v>
      </c>
      <c r="W27" s="86" t="s">
        <v>148</v>
      </c>
      <c r="X27" s="86" t="s">
        <v>192</v>
      </c>
      <c r="Y27" s="87">
        <v>20</v>
      </c>
      <c r="Z27" s="88"/>
      <c r="AB27" s="449" t="s">
        <v>185</v>
      </c>
      <c r="AC27" s="98" t="str">
        <f>INDEX(guest_lists[guest_lists],MATCH("party_6 G1",guest_lists[party],0))</f>
        <v>Ian Neil</v>
      </c>
      <c r="AD27" s="98" t="str">
        <f>INDEX(guest_lists[tour_type],MATCH(AC27,guest_lists[guest_lists],0))</f>
        <v>5 - DTT</v>
      </c>
      <c r="AE27" s="86" t="s">
        <v>462</v>
      </c>
      <c r="AF27" s="86" t="s">
        <v>470</v>
      </c>
      <c r="AG27" s="87"/>
      <c r="AH27" s="268"/>
      <c r="AJ27" s="449" t="s">
        <v>185</v>
      </c>
      <c r="AK27" s="98" t="str">
        <f>INDEX(guest_lists[guest_lists],MATCH("party_6 G1",guest_lists[party],0))</f>
        <v>Ian Neil</v>
      </c>
      <c r="AL27" s="98" t="str">
        <f>INDEX(guest_lists[tour_type],MATCH(AK27,guest_lists[guest_lists],0))</f>
        <v>5 - DTT</v>
      </c>
      <c r="AM27" s="86"/>
      <c r="AN27" s="86"/>
      <c r="AO27" s="87"/>
      <c r="AP27" s="243"/>
      <c r="AR27" s="449" t="s">
        <v>185</v>
      </c>
      <c r="AS27" s="98" t="str">
        <f>INDEX(guest_lists[guest_lists],MATCH("party_6 G1",guest_lists[party],0))</f>
        <v>Ian Neil</v>
      </c>
      <c r="AT27" s="98" t="str">
        <f>INDEX(guest_lists[tour_type],MATCH(AS27,guest_lists[guest_lists],0))</f>
        <v>5 - DTT</v>
      </c>
      <c r="AU27" s="86"/>
      <c r="AV27" s="86"/>
      <c r="AW27" s="87"/>
      <c r="AX27" s="88"/>
      <c r="AZ27" s="449" t="s">
        <v>185</v>
      </c>
      <c r="BA27" s="98" t="str">
        <f>INDEX(guest_lists[guest_lists],MATCH("party_6 G1",guest_lists[party],0))</f>
        <v>Ian Neil</v>
      </c>
      <c r="BB27" s="98" t="str">
        <f>INDEX(guest_lists[tour_type],MATCH(BA27,guest_lists[guest_lists],0))</f>
        <v>5 - DTT</v>
      </c>
      <c r="BC27" s="86"/>
      <c r="BD27" s="86"/>
      <c r="BE27" s="87"/>
      <c r="BF27" s="88"/>
      <c r="BH27" s="449" t="s">
        <v>185</v>
      </c>
      <c r="BI27" s="98" t="str">
        <f>INDEX(guest_lists[guest_lists],MATCH("party_6 G1",guest_lists[party],0))</f>
        <v>Ian Neil</v>
      </c>
      <c r="BJ27" s="98" t="str">
        <f>INDEX(guest_lists[tour_type],MATCH(BI27,guest_lists[guest_lists],0))</f>
        <v>5 - DTT</v>
      </c>
      <c r="BK27" s="86"/>
      <c r="BL27" s="86"/>
      <c r="BM27" s="87"/>
      <c r="BN27" s="243"/>
      <c r="BP27" s="449" t="s">
        <v>185</v>
      </c>
      <c r="BQ27" s="98" t="str">
        <f>INDEX(guest_lists[guest_lists],MATCH("party_6 G1",guest_lists[party],0))</f>
        <v>Ian Neil</v>
      </c>
      <c r="BR27" s="98" t="str">
        <f>INDEX(guest_lists[tour_type],MATCH(BQ27,guest_lists[guest_lists],0))</f>
        <v>5 - DTT</v>
      </c>
      <c r="BS27" s="86"/>
      <c r="BT27" s="86"/>
      <c r="BU27" s="87"/>
      <c r="BV27" s="243"/>
      <c r="BX27" s="449" t="s">
        <v>185</v>
      </c>
      <c r="BY27" s="98" t="str">
        <f>INDEX(guest_lists[guest_lists],MATCH("party_6 G1",guest_lists[party],0))</f>
        <v>Ian Neil</v>
      </c>
      <c r="BZ27" s="98" t="str">
        <f>INDEX(guest_lists[tour_type],MATCH(BY27,guest_lists[guest_lists],0))</f>
        <v>5 - DTT</v>
      </c>
      <c r="CA27" s="86"/>
      <c r="CB27" s="86"/>
      <c r="CC27" s="87"/>
      <c r="CD27" s="243"/>
      <c r="CF27" s="449" t="s">
        <v>185</v>
      </c>
      <c r="CG27" s="98" t="str">
        <f>INDEX(guest_lists[guest_lists],MATCH("party_6 G1",guest_lists[party],0))</f>
        <v>Ian Neil</v>
      </c>
      <c r="CH27" s="98" t="str">
        <f>INDEX(guest_lists[tour_type],MATCH(CG27,guest_lists[guest_lists],0))</f>
        <v>5 - DTT</v>
      </c>
      <c r="CI27" s="302"/>
      <c r="CJ27" s="302"/>
      <c r="CK27" s="303"/>
      <c r="CL27" s="243"/>
      <c r="CN27" s="449" t="s">
        <v>185</v>
      </c>
      <c r="CO27" s="98" t="str">
        <f>INDEX(guest_lists[guest_lists],MATCH("party_6 G1",guest_lists[party],0))</f>
        <v>Ian Neil</v>
      </c>
      <c r="CP27" s="98" t="str">
        <f>INDEX(guest_lists[tour_type],MATCH(CO27,guest_lists[guest_lists],0))</f>
        <v>5 - DTT</v>
      </c>
      <c r="CQ27" s="86"/>
      <c r="CR27" s="86"/>
      <c r="CS27" s="87"/>
      <c r="CT27" s="88"/>
    </row>
    <row r="28" spans="1:98" ht="15" customHeight="1" thickTop="1" thickBot="1" x14ac:dyDescent="0.35">
      <c r="A28" s="212"/>
      <c r="B28" s="213"/>
      <c r="C28" s="215"/>
      <c r="D28" s="469"/>
      <c r="E28" s="295" t="str">
        <f>INDEX(guest_lists[guest_lists],MATCH("party_6 G2",guest_lists[party],0))</f>
        <v>Graheme Fergueson</v>
      </c>
      <c r="F28" s="295" t="str">
        <f>INDEX(guest_lists[tour_type],MATCH(E28,guest_lists[guest_lists],0))</f>
        <v>5 - DTT</v>
      </c>
      <c r="G28" s="90" t="s">
        <v>321</v>
      </c>
      <c r="H28" s="90" t="s">
        <v>192</v>
      </c>
      <c r="I28" s="91"/>
      <c r="J28" s="92"/>
      <c r="L28" s="450"/>
      <c r="M28" s="98" t="str">
        <f>INDEX(guest_lists[guest_lists],MATCH("party_6 G2",guest_lists[party],0))</f>
        <v>Graheme Fergueson</v>
      </c>
      <c r="N28" s="98" t="str">
        <f>INDEX(guest_lists[tour_type],MATCH(M28,guest_lists[guest_lists],0))</f>
        <v>5 - DTT</v>
      </c>
      <c r="O28" s="86" t="s">
        <v>459</v>
      </c>
      <c r="P28" s="90" t="s">
        <v>192</v>
      </c>
      <c r="Q28" s="91"/>
      <c r="R28" s="92"/>
      <c r="T28" s="450"/>
      <c r="U28" s="98" t="str">
        <f>INDEX(guest_lists[guest_lists],MATCH("party_6 G2",guest_lists[party],0))</f>
        <v>Graheme Fergueson</v>
      </c>
      <c r="V28" s="98" t="str">
        <f>INDEX(guest_lists[tour_type],MATCH(U28,guest_lists[guest_lists],0))</f>
        <v>5 - DTT</v>
      </c>
      <c r="W28" s="86" t="s">
        <v>148</v>
      </c>
      <c r="X28" s="90" t="s">
        <v>192</v>
      </c>
      <c r="Y28" s="91">
        <v>20</v>
      </c>
      <c r="Z28" s="92"/>
      <c r="AB28" s="450"/>
      <c r="AC28" s="98" t="str">
        <f>INDEX(guest_lists[guest_lists],MATCH("party_6 G2",guest_lists[party],0))</f>
        <v>Graheme Fergueson</v>
      </c>
      <c r="AD28" s="98" t="str">
        <f>INDEX(guest_lists[tour_type],MATCH(AC28,guest_lists[guest_lists],0))</f>
        <v>5 - DTT</v>
      </c>
      <c r="AE28" s="86" t="s">
        <v>462</v>
      </c>
      <c r="AF28" s="90" t="s">
        <v>470</v>
      </c>
      <c r="AG28" s="91"/>
      <c r="AH28" s="270"/>
      <c r="AJ28" s="450"/>
      <c r="AK28" s="98" t="str">
        <f>INDEX(guest_lists[guest_lists],MATCH("party_6 G2",guest_lists[party],0))</f>
        <v>Graheme Fergueson</v>
      </c>
      <c r="AL28" s="98" t="str">
        <f>INDEX(guest_lists[tour_type],MATCH(AK28,guest_lists[guest_lists],0))</f>
        <v>5 - DTT</v>
      </c>
      <c r="AM28" s="86"/>
      <c r="AN28" s="90"/>
      <c r="AO28" s="91"/>
      <c r="AP28" s="300"/>
      <c r="AR28" s="450"/>
      <c r="AS28" s="98" t="str">
        <f>INDEX(guest_lists[guest_lists],MATCH("party_6 G2",guest_lists[party],0))</f>
        <v>Graheme Fergueson</v>
      </c>
      <c r="AT28" s="98" t="str">
        <f>INDEX(guest_lists[tour_type],MATCH(AS28,guest_lists[guest_lists],0))</f>
        <v>5 - DTT</v>
      </c>
      <c r="AU28" s="86"/>
      <c r="AV28" s="90"/>
      <c r="AW28" s="91"/>
      <c r="AX28" s="92"/>
      <c r="AZ28" s="450"/>
      <c r="BA28" s="98" t="str">
        <f>INDEX(guest_lists[guest_lists],MATCH("party_6 G2",guest_lists[party],0))</f>
        <v>Graheme Fergueson</v>
      </c>
      <c r="BB28" s="98" t="str">
        <f>INDEX(guest_lists[tour_type],MATCH(BA28,guest_lists[guest_lists],0))</f>
        <v>5 - DTT</v>
      </c>
      <c r="BC28" s="86"/>
      <c r="BD28" s="90"/>
      <c r="BE28" s="91"/>
      <c r="BF28" s="92"/>
      <c r="BH28" s="450"/>
      <c r="BI28" s="98" t="str">
        <f>INDEX(guest_lists[guest_lists],MATCH("party_6 G2",guest_lists[party],0))</f>
        <v>Graheme Fergueson</v>
      </c>
      <c r="BJ28" s="98" t="str">
        <f>INDEX(guest_lists[tour_type],MATCH(BI28,guest_lists[guest_lists],0))</f>
        <v>5 - DTT</v>
      </c>
      <c r="BK28" s="86"/>
      <c r="BL28" s="90"/>
      <c r="BM28" s="91"/>
      <c r="BN28" s="243"/>
      <c r="BP28" s="450"/>
      <c r="BQ28" s="98" t="str">
        <f>INDEX(guest_lists[guest_lists],MATCH("party_6 G2",guest_lists[party],0))</f>
        <v>Graheme Fergueson</v>
      </c>
      <c r="BR28" s="98" t="str">
        <f>INDEX(guest_lists[tour_type],MATCH(BQ28,guest_lists[guest_lists],0))</f>
        <v>5 - DTT</v>
      </c>
      <c r="BS28" s="86"/>
      <c r="BT28" s="90"/>
      <c r="BU28" s="91"/>
      <c r="BV28" s="243"/>
      <c r="BX28" s="450"/>
      <c r="BY28" s="98" t="str">
        <f>INDEX(guest_lists[guest_lists],MATCH("party_6 G2",guest_lists[party],0))</f>
        <v>Graheme Fergueson</v>
      </c>
      <c r="BZ28" s="98" t="str">
        <f>INDEX(guest_lists[tour_type],MATCH(BY28,guest_lists[guest_lists],0))</f>
        <v>5 - DTT</v>
      </c>
      <c r="CA28" s="86"/>
      <c r="CB28" s="90"/>
      <c r="CC28" s="91"/>
      <c r="CD28" s="300"/>
      <c r="CF28" s="450"/>
      <c r="CG28" s="98" t="str">
        <f>INDEX(guest_lists[guest_lists],MATCH("party_6 G2",guest_lists[party],0))</f>
        <v>Graheme Fergueson</v>
      </c>
      <c r="CH28" s="98" t="str">
        <f>INDEX(guest_lists[tour_type],MATCH(CG28,guest_lists[guest_lists],0))</f>
        <v>5 - DTT</v>
      </c>
      <c r="CI28" s="302"/>
      <c r="CJ28" s="306"/>
      <c r="CK28" s="307"/>
      <c r="CL28" s="300"/>
      <c r="CN28" s="450"/>
      <c r="CO28" s="98" t="str">
        <f>INDEX(guest_lists[guest_lists],MATCH("party_6 G2",guest_lists[party],0))</f>
        <v>Graheme Fergueson</v>
      </c>
      <c r="CP28" s="98" t="str">
        <f>INDEX(guest_lists[tour_type],MATCH(CO28,guest_lists[guest_lists],0))</f>
        <v>5 - DTT</v>
      </c>
      <c r="CQ28" s="86"/>
      <c r="CR28" s="86"/>
      <c r="CS28" s="87"/>
      <c r="CT28" s="88"/>
    </row>
    <row r="29" spans="1:98" ht="30" thickTop="1" thickBot="1" x14ac:dyDescent="0.35">
      <c r="A29" s="212"/>
      <c r="B29" s="318" t="s">
        <v>270</v>
      </c>
      <c r="C29" s="215"/>
      <c r="D29" s="410" t="s">
        <v>480</v>
      </c>
      <c r="E29" s="296" t="str">
        <f>INDEX(guest_lists[guest_lists],MATCH("party_7 G1",guest_lists[party],0))</f>
        <v>Raewyn Brookie</v>
      </c>
      <c r="F29" s="296" t="str">
        <f>INDEX(guest_lists[tour_type],MATCH(E29,guest_lists[guest_lists],0))</f>
        <v>9 - DPSYT</v>
      </c>
      <c r="G29" s="90"/>
      <c r="H29" s="90"/>
      <c r="I29" s="91"/>
      <c r="J29" s="92"/>
      <c r="L29" s="408" t="s">
        <v>480</v>
      </c>
      <c r="M29" s="297" t="str">
        <f>INDEX(guest_lists[guest_lists],MATCH("party_7 G1",guest_lists[party],0))</f>
        <v>Raewyn Brookie</v>
      </c>
      <c r="N29" s="297" t="str">
        <f>INDEX(guest_lists[tour_type],MATCH(M29,guest_lists[guest_lists],0))</f>
        <v>9 - DPSYT</v>
      </c>
      <c r="O29" s="86"/>
      <c r="P29" s="90"/>
      <c r="Q29" s="91"/>
      <c r="R29" s="92"/>
      <c r="T29" s="408" t="s">
        <v>480</v>
      </c>
      <c r="U29" s="297" t="str">
        <f>INDEX(guest_lists[guest_lists],MATCH("party_7 G1",guest_lists[party],0))</f>
        <v>Raewyn Brookie</v>
      </c>
      <c r="V29" s="297" t="str">
        <f>INDEX(guest_lists[tour_type],MATCH(U29,guest_lists[guest_lists],0))</f>
        <v>9 - DPSYT</v>
      </c>
      <c r="W29" s="86" t="s">
        <v>148</v>
      </c>
      <c r="X29" s="90" t="s">
        <v>192</v>
      </c>
      <c r="Y29" s="91">
        <v>59</v>
      </c>
      <c r="Z29" s="92"/>
      <c r="AB29" s="408" t="s">
        <v>480</v>
      </c>
      <c r="AC29" s="297" t="str">
        <f>INDEX(guest_lists[guest_lists],MATCH("party_7 G1",guest_lists[party],0))</f>
        <v>Raewyn Brookie</v>
      </c>
      <c r="AD29" s="297" t="str">
        <f>INDEX(guest_lists[tour_type],MATCH(AC29,guest_lists[guest_lists],0))</f>
        <v>9 - DPSYT</v>
      </c>
      <c r="AE29" s="86" t="s">
        <v>462</v>
      </c>
      <c r="AF29" s="90" t="s">
        <v>192</v>
      </c>
      <c r="AG29" s="91"/>
      <c r="AH29" s="270"/>
      <c r="AJ29" s="408" t="s">
        <v>480</v>
      </c>
      <c r="AK29" s="297" t="str">
        <f>INDEX(guest_lists[guest_lists],MATCH("party_7 G1",guest_lists[party],0))</f>
        <v>Raewyn Brookie</v>
      </c>
      <c r="AL29" s="297" t="str">
        <f>INDEX(guest_lists[tour_type],MATCH(AK29,guest_lists[guest_lists],0))</f>
        <v>9 - DPSYT</v>
      </c>
      <c r="AM29" s="86" t="s">
        <v>149</v>
      </c>
      <c r="AN29" s="90" t="s">
        <v>191</v>
      </c>
      <c r="AO29" s="91"/>
      <c r="AP29" s="243" t="s">
        <v>491</v>
      </c>
      <c r="AR29" s="408" t="s">
        <v>480</v>
      </c>
      <c r="AS29" s="297" t="str">
        <f>INDEX(guest_lists[guest_lists],MATCH("party_7 G1",guest_lists[party],0))</f>
        <v>Raewyn Brookie</v>
      </c>
      <c r="AT29" s="297" t="str">
        <f>INDEX(guest_lists[tour_type],MATCH(AS29,guest_lists[guest_lists],0))</f>
        <v>9 - DPSYT</v>
      </c>
      <c r="AU29" s="86" t="s">
        <v>281</v>
      </c>
      <c r="AV29" s="90" t="s">
        <v>192</v>
      </c>
      <c r="AW29" s="91"/>
      <c r="AX29" s="92"/>
      <c r="AZ29" s="408" t="s">
        <v>480</v>
      </c>
      <c r="BA29" s="297" t="str">
        <f>INDEX(guest_lists[guest_lists],MATCH("party_7 G1",guest_lists[party],0))</f>
        <v>Raewyn Brookie</v>
      </c>
      <c r="BB29" s="297" t="str">
        <f>INDEX(guest_lists[tour_type],MATCH(BA29,guest_lists[guest_lists],0))</f>
        <v>9 - DPSYT</v>
      </c>
      <c r="BC29" s="86" t="s">
        <v>281</v>
      </c>
      <c r="BD29" s="90" t="s">
        <v>192</v>
      </c>
      <c r="BE29" s="91"/>
      <c r="BF29" s="92"/>
      <c r="BH29" s="408" t="s">
        <v>480</v>
      </c>
      <c r="BI29" s="297" t="str">
        <f>INDEX(guest_lists[guest_lists],MATCH("party_7 G1",guest_lists[party],0))</f>
        <v>Raewyn Brookie</v>
      </c>
      <c r="BJ29" s="297" t="str">
        <f>INDEX(guest_lists[tour_type],MATCH(BI29,guest_lists[guest_lists],0))</f>
        <v>9 - DPSYT</v>
      </c>
      <c r="BK29" s="86" t="s">
        <v>285</v>
      </c>
      <c r="BL29" s="90" t="s">
        <v>192</v>
      </c>
      <c r="BM29" s="91"/>
      <c r="BN29" s="243" t="s">
        <v>495</v>
      </c>
      <c r="BP29" s="408" t="s">
        <v>480</v>
      </c>
      <c r="BQ29" s="297" t="str">
        <f>INDEX(guest_lists[guest_lists],MATCH("party_7 G1",guest_lists[party],0))</f>
        <v>Raewyn Brookie</v>
      </c>
      <c r="BR29" s="297" t="str">
        <f>INDEX(guest_lists[tour_type],MATCH(BQ29,guest_lists[guest_lists],0))</f>
        <v>9 - DPSYT</v>
      </c>
      <c r="BS29" s="86" t="s">
        <v>150</v>
      </c>
      <c r="BT29" s="90"/>
      <c r="BU29" s="91"/>
      <c r="BV29" s="243" t="s">
        <v>499</v>
      </c>
      <c r="BX29" s="408" t="s">
        <v>480</v>
      </c>
      <c r="BY29" s="297" t="str">
        <f>INDEX(guest_lists[guest_lists],MATCH("party_7 G1",guest_lists[party],0))</f>
        <v>Raewyn Brookie</v>
      </c>
      <c r="BZ29" s="297" t="str">
        <f>INDEX(guest_lists[tour_type],MATCH(BY29,guest_lists[guest_lists],0))</f>
        <v>9 - DPSYT</v>
      </c>
      <c r="CA29" s="86" t="s">
        <v>150</v>
      </c>
      <c r="CB29" s="90" t="s">
        <v>192</v>
      </c>
      <c r="CC29" s="91"/>
      <c r="CD29" s="243" t="s">
        <v>502</v>
      </c>
      <c r="CF29" s="408" t="s">
        <v>480</v>
      </c>
      <c r="CG29" s="297" t="str">
        <f>INDEX(guest_lists[guest_lists],MATCH("party_7 G1",guest_lists[party],0))</f>
        <v>Raewyn Brookie</v>
      </c>
      <c r="CH29" s="297" t="str">
        <f>INDEX(guest_lists[tour_type],MATCH(CG29,guest_lists[guest_lists],0))</f>
        <v>9 - DPSYT</v>
      </c>
      <c r="CI29" s="302" t="s">
        <v>465</v>
      </c>
      <c r="CJ29" s="306" t="s">
        <v>192</v>
      </c>
      <c r="CK29" s="307"/>
      <c r="CL29" s="300"/>
      <c r="CN29" s="408" t="s">
        <v>480</v>
      </c>
      <c r="CO29" s="297" t="str">
        <f>INDEX(guest_lists[guest_lists],MATCH("party_7 G1",guest_lists[party],0))</f>
        <v>Raewyn Brookie</v>
      </c>
      <c r="CP29" s="297" t="str">
        <f>INDEX(guest_lists[tour_type],MATCH(CO29,guest_lists[guest_lists],0))</f>
        <v>9 - DPSYT</v>
      </c>
      <c r="CQ29" s="86"/>
      <c r="CR29" s="86"/>
      <c r="CS29" s="87"/>
      <c r="CT29" s="88"/>
    </row>
    <row r="30" spans="1:98" ht="15" thickBot="1" x14ac:dyDescent="0.35">
      <c r="A30" s="212"/>
      <c r="B30" s="319"/>
      <c r="C30" s="215"/>
      <c r="D30" s="411"/>
      <c r="E30" s="296" t="e">
        <f>INDEX(guest_lists[guest_lists],MATCH("party_7 G2",guest_lists[party],0))</f>
        <v>#N/A</v>
      </c>
      <c r="F30" s="296" t="e">
        <f>INDEX(guest_lists[tour_type],MATCH(E30,guest_lists[guest_lists],0))</f>
        <v>#N/A</v>
      </c>
      <c r="G30" s="90"/>
      <c r="H30" s="90"/>
      <c r="I30" s="91"/>
      <c r="J30" s="92"/>
      <c r="L30" s="409"/>
      <c r="M30" s="297" t="e">
        <f>INDEX(guest_lists[guest_lists],MATCH("party_7 G2",guest_lists[party],0))</f>
        <v>#N/A</v>
      </c>
      <c r="N30" s="297" t="e">
        <f>INDEX(guest_lists[tour_type],MATCH(M30,guest_lists[guest_lists],0))</f>
        <v>#N/A</v>
      </c>
      <c r="O30" s="86"/>
      <c r="P30" s="90"/>
      <c r="Q30" s="91"/>
      <c r="R30" s="92"/>
      <c r="T30" s="409"/>
      <c r="U30" s="297" t="e">
        <f>INDEX(guest_lists[guest_lists],MATCH("party_7 G2",guest_lists[party],0))</f>
        <v>#N/A</v>
      </c>
      <c r="V30" s="297" t="e">
        <f>INDEX(guest_lists[tour_type],MATCH(U30,guest_lists[guest_lists],0))</f>
        <v>#N/A</v>
      </c>
      <c r="W30" s="86"/>
      <c r="X30" s="90"/>
      <c r="Y30" s="91"/>
      <c r="Z30" s="92"/>
      <c r="AB30" s="409"/>
      <c r="AC30" s="297" t="e">
        <f>INDEX(guest_lists[guest_lists],MATCH("party_7 G2",guest_lists[party],0))</f>
        <v>#N/A</v>
      </c>
      <c r="AD30" s="297" t="e">
        <f>INDEX(guest_lists[tour_type],MATCH(AC30,guest_lists[guest_lists],0))</f>
        <v>#N/A</v>
      </c>
      <c r="AE30" s="86"/>
      <c r="AF30" s="90"/>
      <c r="AG30" s="91"/>
      <c r="AH30" s="270"/>
      <c r="AJ30" s="409"/>
      <c r="AK30" s="297" t="e">
        <f>INDEX(guest_lists[guest_lists],MATCH("party_7 G2",guest_lists[party],0))</f>
        <v>#N/A</v>
      </c>
      <c r="AL30" s="297" t="e">
        <f>INDEX(guest_lists[tour_type],MATCH(AK30,guest_lists[guest_lists],0))</f>
        <v>#N/A</v>
      </c>
      <c r="AM30" s="86"/>
      <c r="AN30" s="90"/>
      <c r="AO30" s="91"/>
      <c r="AP30" s="300"/>
      <c r="AR30" s="409"/>
      <c r="AS30" s="297" t="e">
        <f>INDEX(guest_lists[guest_lists],MATCH("party_7 G2",guest_lists[party],0))</f>
        <v>#N/A</v>
      </c>
      <c r="AT30" s="297" t="e">
        <f>INDEX(guest_lists[tour_type],MATCH(AS30,guest_lists[guest_lists],0))</f>
        <v>#N/A</v>
      </c>
      <c r="AU30" s="86"/>
      <c r="AV30" s="90"/>
      <c r="AW30" s="91"/>
      <c r="AX30" s="92"/>
      <c r="AZ30" s="409"/>
      <c r="BA30" s="297" t="e">
        <f>INDEX(guest_lists[guest_lists],MATCH("party_7 G2",guest_lists[party],0))</f>
        <v>#N/A</v>
      </c>
      <c r="BB30" s="297" t="e">
        <f>INDEX(guest_lists[tour_type],MATCH(BA30,guest_lists[guest_lists],0))</f>
        <v>#N/A</v>
      </c>
      <c r="BC30" s="86"/>
      <c r="BD30" s="90"/>
      <c r="BE30" s="91"/>
      <c r="BF30" s="92"/>
      <c r="BH30" s="409"/>
      <c r="BI30" s="297" t="e">
        <f>INDEX(guest_lists[guest_lists],MATCH("party_7 G2",guest_lists[party],0))</f>
        <v>#N/A</v>
      </c>
      <c r="BJ30" s="297" t="e">
        <f>INDEX(guest_lists[tour_type],MATCH(BI30,guest_lists[guest_lists],0))</f>
        <v>#N/A</v>
      </c>
      <c r="BK30" s="86"/>
      <c r="BL30" s="90"/>
      <c r="BM30" s="91"/>
      <c r="BN30" s="243"/>
      <c r="BP30" s="409"/>
      <c r="BQ30" s="297" t="e">
        <f>INDEX(guest_lists[guest_lists],MATCH("party_7 G2",guest_lists[party],0))</f>
        <v>#N/A</v>
      </c>
      <c r="BR30" s="297" t="e">
        <f>INDEX(guest_lists[tour_type],MATCH(BQ30,guest_lists[guest_lists],0))</f>
        <v>#N/A</v>
      </c>
      <c r="BS30" s="86"/>
      <c r="BT30" s="90"/>
      <c r="BU30" s="91"/>
      <c r="BV30" s="243"/>
      <c r="BX30" s="409"/>
      <c r="BY30" s="297" t="e">
        <f>INDEX(guest_lists[guest_lists],MATCH("party_7 G2",guest_lists[party],0))</f>
        <v>#N/A</v>
      </c>
      <c r="BZ30" s="297" t="e">
        <f>INDEX(guest_lists[tour_type],MATCH(BY30,guest_lists[guest_lists],0))</f>
        <v>#N/A</v>
      </c>
      <c r="CA30" s="86"/>
      <c r="CB30" s="90"/>
      <c r="CC30" s="91"/>
      <c r="CD30" s="300"/>
      <c r="CF30" s="409"/>
      <c r="CG30" s="297" t="e">
        <f>INDEX(guest_lists[guest_lists],MATCH("party_7 G2",guest_lists[party],0))</f>
        <v>#N/A</v>
      </c>
      <c r="CH30" s="297" t="e">
        <f>INDEX(guest_lists[tour_type],MATCH(CG30,guest_lists[guest_lists],0))</f>
        <v>#N/A</v>
      </c>
      <c r="CI30" s="302"/>
      <c r="CJ30" s="306"/>
      <c r="CK30" s="307"/>
      <c r="CL30" s="300"/>
      <c r="CN30" s="409"/>
      <c r="CO30" s="297" t="e">
        <f>INDEX(guest_lists[guest_lists],MATCH("party_7 G2",guest_lists[party],0))</f>
        <v>#N/A</v>
      </c>
      <c r="CP30" s="297" t="e">
        <f>INDEX(guest_lists[tour_type],MATCH(CO30,guest_lists[guest_lists],0))</f>
        <v>#N/A</v>
      </c>
      <c r="CQ30" s="86"/>
      <c r="CR30" s="86"/>
      <c r="CS30" s="87"/>
      <c r="CT30" s="88"/>
    </row>
    <row r="31" spans="1:98" ht="24.6" thickTop="1" thickBot="1" x14ac:dyDescent="0.5">
      <c r="A31" s="212"/>
      <c r="B31" s="213"/>
      <c r="C31" s="215"/>
      <c r="D31" s="418" t="s">
        <v>206</v>
      </c>
      <c r="E31" s="426"/>
      <c r="F31" s="426"/>
      <c r="G31" s="426"/>
      <c r="H31" s="426"/>
      <c r="I31" s="426"/>
      <c r="J31" s="427"/>
      <c r="L31" s="445" t="s">
        <v>206</v>
      </c>
      <c r="M31" s="445"/>
      <c r="N31" s="445"/>
      <c r="O31" s="445"/>
      <c r="P31" s="445"/>
      <c r="Q31" s="445"/>
      <c r="R31" s="445"/>
      <c r="T31" s="445" t="s">
        <v>206</v>
      </c>
      <c r="U31" s="445"/>
      <c r="V31" s="445"/>
      <c r="W31" s="445"/>
      <c r="X31" s="445"/>
      <c r="Y31" s="445"/>
      <c r="Z31" s="445"/>
      <c r="AB31" s="445" t="s">
        <v>206</v>
      </c>
      <c r="AC31" s="445"/>
      <c r="AD31" s="445"/>
      <c r="AE31" s="445"/>
      <c r="AF31" s="445"/>
      <c r="AG31" s="445"/>
      <c r="AH31" s="445"/>
      <c r="AJ31" s="445" t="s">
        <v>206</v>
      </c>
      <c r="AK31" s="445"/>
      <c r="AL31" s="445"/>
      <c r="AM31" s="445"/>
      <c r="AN31" s="445"/>
      <c r="AO31" s="445"/>
      <c r="AP31" s="445"/>
      <c r="AR31" s="445" t="s">
        <v>206</v>
      </c>
      <c r="AS31" s="445"/>
      <c r="AT31" s="445"/>
      <c r="AU31" s="445"/>
      <c r="AV31" s="445"/>
      <c r="AW31" s="445"/>
      <c r="AX31" s="445"/>
      <c r="AZ31" s="445" t="s">
        <v>206</v>
      </c>
      <c r="BA31" s="445"/>
      <c r="BB31" s="445"/>
      <c r="BC31" s="445"/>
      <c r="BD31" s="445"/>
      <c r="BE31" s="445"/>
      <c r="BF31" s="445"/>
      <c r="BH31" s="445" t="s">
        <v>206</v>
      </c>
      <c r="BI31" s="445"/>
      <c r="BJ31" s="445"/>
      <c r="BK31" s="445"/>
      <c r="BL31" s="445"/>
      <c r="BM31" s="445"/>
      <c r="BN31" s="445"/>
      <c r="BP31" s="445" t="s">
        <v>206</v>
      </c>
      <c r="BQ31" s="445"/>
      <c r="BR31" s="445"/>
      <c r="BS31" s="445"/>
      <c r="BT31" s="445"/>
      <c r="BU31" s="445"/>
      <c r="BV31" s="445"/>
      <c r="BX31" s="445" t="s">
        <v>206</v>
      </c>
      <c r="BY31" s="445"/>
      <c r="BZ31" s="445"/>
      <c r="CA31" s="445"/>
      <c r="CB31" s="445"/>
      <c r="CC31" s="445"/>
      <c r="CD31" s="445"/>
      <c r="CF31" s="444" t="s">
        <v>206</v>
      </c>
      <c r="CG31" s="445"/>
      <c r="CH31" s="445"/>
      <c r="CI31" s="445"/>
      <c r="CJ31" s="445"/>
      <c r="CK31" s="445"/>
      <c r="CL31" s="446"/>
      <c r="CN31" s="445" t="s">
        <v>206</v>
      </c>
      <c r="CO31" s="445"/>
      <c r="CP31" s="445"/>
      <c r="CQ31" s="445"/>
      <c r="CR31" s="445"/>
      <c r="CS31" s="445"/>
      <c r="CT31" s="445"/>
    </row>
    <row r="32" spans="1:98" ht="15.6" customHeight="1" thickTop="1" thickBot="1" x14ac:dyDescent="0.35">
      <c r="A32" s="212"/>
      <c r="B32" s="318" t="s">
        <v>271</v>
      </c>
      <c r="C32" s="215"/>
      <c r="D32" s="118"/>
      <c r="E32" s="123" t="s">
        <v>199</v>
      </c>
      <c r="F32" s="119" t="s">
        <v>33</v>
      </c>
      <c r="G32" s="117" t="s">
        <v>161</v>
      </c>
      <c r="H32" s="117" t="s">
        <v>186</v>
      </c>
      <c r="I32" s="117" t="s">
        <v>189</v>
      </c>
      <c r="J32" s="124"/>
      <c r="L32" s="64"/>
      <c r="M32" s="76" t="s">
        <v>199</v>
      </c>
      <c r="N32" s="72" t="s">
        <v>33</v>
      </c>
      <c r="O32" s="20" t="s">
        <v>161</v>
      </c>
      <c r="P32" s="1" t="s">
        <v>186</v>
      </c>
      <c r="Q32" s="20" t="s">
        <v>189</v>
      </c>
      <c r="T32" s="64"/>
      <c r="U32" s="76" t="s">
        <v>199</v>
      </c>
      <c r="V32" s="72" t="s">
        <v>33</v>
      </c>
      <c r="W32" s="20" t="s">
        <v>161</v>
      </c>
      <c r="X32" s="1" t="s">
        <v>186</v>
      </c>
      <c r="Y32" s="20" t="s">
        <v>189</v>
      </c>
      <c r="AB32" s="64"/>
      <c r="AC32" s="76" t="s">
        <v>199</v>
      </c>
      <c r="AD32" s="72" t="s">
        <v>33</v>
      </c>
      <c r="AE32" s="20" t="s">
        <v>161</v>
      </c>
      <c r="AF32" s="1" t="s">
        <v>186</v>
      </c>
      <c r="AG32" s="20" t="s">
        <v>189</v>
      </c>
      <c r="AJ32" s="64"/>
      <c r="AK32" s="76" t="s">
        <v>199</v>
      </c>
      <c r="AL32" s="72" t="s">
        <v>33</v>
      </c>
      <c r="AM32" s="20" t="s">
        <v>161</v>
      </c>
      <c r="AN32" s="1" t="s">
        <v>186</v>
      </c>
      <c r="AO32" s="20" t="s">
        <v>189</v>
      </c>
      <c r="AR32" s="64"/>
      <c r="AS32" s="76" t="s">
        <v>199</v>
      </c>
      <c r="AT32" s="72" t="s">
        <v>33</v>
      </c>
      <c r="AU32" s="20" t="s">
        <v>161</v>
      </c>
      <c r="AV32" s="1" t="s">
        <v>186</v>
      </c>
      <c r="AW32" s="20" t="s">
        <v>189</v>
      </c>
      <c r="AZ32" s="64"/>
      <c r="BA32" s="76" t="s">
        <v>199</v>
      </c>
      <c r="BB32" s="72" t="s">
        <v>33</v>
      </c>
      <c r="BC32" s="20" t="s">
        <v>161</v>
      </c>
      <c r="BD32" s="1" t="s">
        <v>186</v>
      </c>
      <c r="BE32" s="20" t="s">
        <v>189</v>
      </c>
      <c r="BH32" s="64"/>
      <c r="BI32" s="76" t="s">
        <v>199</v>
      </c>
      <c r="BJ32" s="72" t="s">
        <v>33</v>
      </c>
      <c r="BK32" s="20" t="s">
        <v>161</v>
      </c>
      <c r="BL32" s="1" t="s">
        <v>186</v>
      </c>
      <c r="BM32" s="20" t="s">
        <v>189</v>
      </c>
      <c r="BP32" s="64"/>
      <c r="BQ32" s="76" t="s">
        <v>199</v>
      </c>
      <c r="BR32" s="72" t="s">
        <v>33</v>
      </c>
      <c r="BS32" s="20" t="s">
        <v>161</v>
      </c>
      <c r="BT32" s="1" t="s">
        <v>186</v>
      </c>
      <c r="BU32" s="20" t="s">
        <v>189</v>
      </c>
      <c r="BX32" s="64"/>
      <c r="BY32" s="76" t="s">
        <v>199</v>
      </c>
      <c r="BZ32" s="72" t="s">
        <v>33</v>
      </c>
      <c r="CA32" s="20" t="s">
        <v>161</v>
      </c>
      <c r="CB32" s="1" t="s">
        <v>186</v>
      </c>
      <c r="CC32" s="20" t="s">
        <v>189</v>
      </c>
      <c r="CF32" s="100"/>
      <c r="CG32" s="76" t="s">
        <v>199</v>
      </c>
      <c r="CH32" s="261" t="s">
        <v>33</v>
      </c>
      <c r="CI32" s="20" t="s">
        <v>161</v>
      </c>
      <c r="CJ32" s="20" t="s">
        <v>186</v>
      </c>
      <c r="CK32" s="20" t="s">
        <v>189</v>
      </c>
      <c r="CL32" s="21"/>
      <c r="CN32" s="64"/>
      <c r="CO32" s="76" t="s">
        <v>199</v>
      </c>
      <c r="CP32" s="72" t="s">
        <v>33</v>
      </c>
      <c r="CQ32" s="20" t="s">
        <v>161</v>
      </c>
      <c r="CR32" s="1" t="s">
        <v>186</v>
      </c>
      <c r="CS32" s="20" t="s">
        <v>189</v>
      </c>
    </row>
    <row r="33" spans="1:98" ht="72.599999999999994" thickBot="1" x14ac:dyDescent="0.35">
      <c r="A33" s="212"/>
      <c r="B33" s="319"/>
      <c r="C33" s="215"/>
      <c r="D33" s="109" t="s">
        <v>196</v>
      </c>
      <c r="E33" s="85" t="str">
        <f>data_formula_legend!N6</f>
        <v>Malia Schmidt</v>
      </c>
      <c r="F33" s="86" t="s">
        <v>152</v>
      </c>
      <c r="G33" s="86" t="s">
        <v>191</v>
      </c>
      <c r="H33" s="87"/>
      <c r="I33" s="243" t="s">
        <v>380</v>
      </c>
      <c r="J33" s="124"/>
      <c r="L33" s="109" t="s">
        <v>196</v>
      </c>
      <c r="M33" s="85" t="str">
        <f>data_formula_legend!$N6</f>
        <v>Malia Schmidt</v>
      </c>
      <c r="N33" s="86" t="s">
        <v>385</v>
      </c>
      <c r="O33" s="86" t="s">
        <v>192</v>
      </c>
      <c r="P33" s="87"/>
      <c r="Q33" s="243" t="s">
        <v>474</v>
      </c>
      <c r="T33" s="109" t="s">
        <v>196</v>
      </c>
      <c r="U33" s="85" t="str">
        <f>data_formula_legend!$N6</f>
        <v>Malia Schmidt</v>
      </c>
      <c r="V33" s="86" t="s">
        <v>420</v>
      </c>
      <c r="W33" s="86"/>
      <c r="X33" s="87"/>
      <c r="Y33" s="88"/>
      <c r="AB33" s="109" t="s">
        <v>196</v>
      </c>
      <c r="AC33" s="85" t="str">
        <f>data_formula_legend!$N6</f>
        <v>Malia Schmidt</v>
      </c>
      <c r="AD33" s="86" t="s">
        <v>462</v>
      </c>
      <c r="AE33" s="86"/>
      <c r="AF33" s="87"/>
      <c r="AG33" s="243" t="s">
        <v>483</v>
      </c>
      <c r="AJ33" s="109" t="s">
        <v>196</v>
      </c>
      <c r="AK33" s="85" t="str">
        <f>data_formula_legend!$N6</f>
        <v>Malia Schmidt</v>
      </c>
      <c r="AL33" s="86" t="s">
        <v>149</v>
      </c>
      <c r="AM33" s="86"/>
      <c r="AN33" s="87"/>
      <c r="AO33" s="88" t="s">
        <v>425</v>
      </c>
      <c r="AR33" s="109" t="s">
        <v>196</v>
      </c>
      <c r="AS33" s="85" t="str">
        <f>data_formula_legend!$N6</f>
        <v>Malia Schmidt</v>
      </c>
      <c r="AT33" s="86" t="s">
        <v>281</v>
      </c>
      <c r="AU33" s="86"/>
      <c r="AV33" s="87"/>
      <c r="AW33" s="243" t="s">
        <v>493</v>
      </c>
      <c r="AZ33" s="109" t="s">
        <v>196</v>
      </c>
      <c r="BA33" s="85" t="str">
        <f>data_formula_legend!$N6</f>
        <v>Malia Schmidt</v>
      </c>
      <c r="BB33" s="86" t="s">
        <v>281</v>
      </c>
      <c r="BC33" s="86"/>
      <c r="BD33" s="87"/>
      <c r="BE33" s="243" t="s">
        <v>494</v>
      </c>
      <c r="BH33" s="109" t="s">
        <v>196</v>
      </c>
      <c r="BI33" s="85" t="str">
        <f>data_formula_legend!$N6</f>
        <v>Malia Schmidt</v>
      </c>
      <c r="BJ33" s="86" t="s">
        <v>285</v>
      </c>
      <c r="BK33" s="86"/>
      <c r="BL33" s="87"/>
      <c r="BM33" s="243" t="s">
        <v>495</v>
      </c>
      <c r="BP33" s="109" t="s">
        <v>196</v>
      </c>
      <c r="BQ33" s="85" t="str">
        <f>data_formula_legend!$N6</f>
        <v>Malia Schmidt</v>
      </c>
      <c r="BR33" s="86" t="s">
        <v>150</v>
      </c>
      <c r="BS33" s="86"/>
      <c r="BT33" s="87"/>
      <c r="BU33" s="243" t="s">
        <v>500</v>
      </c>
      <c r="BX33" s="109" t="s">
        <v>196</v>
      </c>
      <c r="BY33" s="85" t="str">
        <f>data_formula_legend!$N6</f>
        <v>Malia Schmidt</v>
      </c>
      <c r="BZ33" s="86" t="s">
        <v>150</v>
      </c>
      <c r="CA33" s="86"/>
      <c r="CB33" s="87"/>
      <c r="CC33" s="243" t="s">
        <v>503</v>
      </c>
      <c r="CF33" s="109" t="s">
        <v>196</v>
      </c>
      <c r="CG33" s="85" t="str">
        <f>data_formula_legend!$N6</f>
        <v>Malia Schmidt</v>
      </c>
      <c r="CH33" s="302"/>
      <c r="CI33" s="302"/>
      <c r="CJ33" s="303"/>
      <c r="CK33" s="243"/>
      <c r="CL33" s="21"/>
      <c r="CN33" s="109" t="s">
        <v>196</v>
      </c>
      <c r="CO33" s="85">
        <f>data_formula_legend!CP6</f>
        <v>0</v>
      </c>
      <c r="CP33" s="86"/>
      <c r="CQ33" s="86"/>
      <c r="CR33" s="87"/>
      <c r="CS33" s="88"/>
    </row>
    <row r="34" spans="1:98" ht="73.2" thickTop="1" thickBot="1" x14ac:dyDescent="0.35">
      <c r="A34" s="212"/>
      <c r="B34" s="213"/>
      <c r="C34" s="215"/>
      <c r="D34" s="110" t="s">
        <v>197</v>
      </c>
      <c r="E34" s="77" t="str">
        <f>data_formula_legend!N7</f>
        <v>Mark Cromwell</v>
      </c>
      <c r="F34" s="83" t="s">
        <v>152</v>
      </c>
      <c r="G34" s="83" t="s">
        <v>191</v>
      </c>
      <c r="H34" s="84"/>
      <c r="I34" s="243" t="s">
        <v>380</v>
      </c>
      <c r="J34" s="124"/>
      <c r="L34" s="110" t="s">
        <v>197</v>
      </c>
      <c r="M34" s="85" t="str">
        <f>data_formula_legend!$N7</f>
        <v>Mark Cromwell</v>
      </c>
      <c r="N34" s="86" t="s">
        <v>385</v>
      </c>
      <c r="O34" s="83" t="s">
        <v>192</v>
      </c>
      <c r="P34" s="84"/>
      <c r="Q34" s="243" t="s">
        <v>474</v>
      </c>
      <c r="T34" s="110" t="s">
        <v>197</v>
      </c>
      <c r="U34" s="85" t="str">
        <f>data_formula_legend!$N7</f>
        <v>Mark Cromwell</v>
      </c>
      <c r="V34" s="86" t="s">
        <v>420</v>
      </c>
      <c r="W34" s="83"/>
      <c r="X34" s="84"/>
      <c r="Y34" s="111"/>
      <c r="AB34" s="110" t="s">
        <v>197</v>
      </c>
      <c r="AC34" s="85" t="str">
        <f>data_formula_legend!$N7</f>
        <v>Mark Cromwell</v>
      </c>
      <c r="AD34" s="86" t="s">
        <v>462</v>
      </c>
      <c r="AE34" s="83"/>
      <c r="AF34" s="84"/>
      <c r="AG34" s="243" t="s">
        <v>483</v>
      </c>
      <c r="AJ34" s="110" t="s">
        <v>197</v>
      </c>
      <c r="AK34" s="85" t="str">
        <f>data_formula_legend!$N7</f>
        <v>Mark Cromwell</v>
      </c>
      <c r="AL34" s="86" t="s">
        <v>149</v>
      </c>
      <c r="AM34" s="83"/>
      <c r="AN34" s="84"/>
      <c r="AO34" s="88" t="s">
        <v>425</v>
      </c>
      <c r="AR34" s="110" t="s">
        <v>197</v>
      </c>
      <c r="AS34" s="85" t="str">
        <f>data_formula_legend!$N7</f>
        <v>Mark Cromwell</v>
      </c>
      <c r="AT34" s="86" t="s">
        <v>281</v>
      </c>
      <c r="AU34" s="83"/>
      <c r="AV34" s="84"/>
      <c r="AW34" s="243" t="s">
        <v>493</v>
      </c>
      <c r="AZ34" s="110" t="s">
        <v>197</v>
      </c>
      <c r="BA34" s="85" t="str">
        <f>data_formula_legend!$N7</f>
        <v>Mark Cromwell</v>
      </c>
      <c r="BB34" s="86" t="s">
        <v>281</v>
      </c>
      <c r="BC34" s="83"/>
      <c r="BD34" s="84"/>
      <c r="BE34" s="243" t="s">
        <v>494</v>
      </c>
      <c r="BH34" s="110" t="s">
        <v>197</v>
      </c>
      <c r="BI34" s="85" t="str">
        <f>data_formula_legend!$N7</f>
        <v>Mark Cromwell</v>
      </c>
      <c r="BJ34" s="86" t="s">
        <v>285</v>
      </c>
      <c r="BK34" s="83"/>
      <c r="BL34" s="84"/>
      <c r="BM34" s="243" t="s">
        <v>495</v>
      </c>
      <c r="BP34" s="110" t="s">
        <v>197</v>
      </c>
      <c r="BQ34" s="85" t="str">
        <f>data_formula_legend!$N7</f>
        <v>Mark Cromwell</v>
      </c>
      <c r="BR34" s="86" t="s">
        <v>150</v>
      </c>
      <c r="BS34" s="83"/>
      <c r="BT34" s="84"/>
      <c r="BU34" s="243" t="s">
        <v>500</v>
      </c>
      <c r="BX34" s="110" t="s">
        <v>197</v>
      </c>
      <c r="BY34" s="85" t="str">
        <f>data_formula_legend!$N7</f>
        <v>Mark Cromwell</v>
      </c>
      <c r="BZ34" s="86" t="s">
        <v>150</v>
      </c>
      <c r="CA34" s="83"/>
      <c r="CB34" s="84"/>
      <c r="CC34" s="243" t="s">
        <v>503</v>
      </c>
      <c r="CF34" s="110" t="s">
        <v>197</v>
      </c>
      <c r="CG34" s="85" t="str">
        <f>data_formula_legend!$N7</f>
        <v>Mark Cromwell</v>
      </c>
      <c r="CH34" s="302"/>
      <c r="CI34" s="308"/>
      <c r="CJ34" s="309"/>
      <c r="CK34" s="299"/>
      <c r="CL34" s="21"/>
      <c r="CN34" s="110" t="s">
        <v>197</v>
      </c>
      <c r="CO34" s="85">
        <f>data_formula_legend!CP7</f>
        <v>0</v>
      </c>
      <c r="CP34" s="86"/>
      <c r="CQ34" s="83"/>
      <c r="CR34" s="84"/>
      <c r="CS34" s="111"/>
    </row>
    <row r="35" spans="1:98" ht="73.2" thickTop="1" thickBot="1" x14ac:dyDescent="0.35">
      <c r="A35" s="212"/>
      <c r="B35" s="318" t="s">
        <v>272</v>
      </c>
      <c r="C35" s="215"/>
      <c r="D35" s="112" t="s">
        <v>198</v>
      </c>
      <c r="E35" s="89" t="str">
        <f>data_formula_legend!N8</f>
        <v>Orion</v>
      </c>
      <c r="F35" s="90" t="s">
        <v>152</v>
      </c>
      <c r="G35" s="90" t="s">
        <v>191</v>
      </c>
      <c r="H35" s="91"/>
      <c r="I35" s="243" t="s">
        <v>380</v>
      </c>
      <c r="J35" s="125"/>
      <c r="L35" s="112" t="s">
        <v>198</v>
      </c>
      <c r="M35" s="108" t="str">
        <f>data_formula_legend!$N8</f>
        <v>Orion</v>
      </c>
      <c r="N35" s="86" t="s">
        <v>385</v>
      </c>
      <c r="O35" s="90" t="s">
        <v>191</v>
      </c>
      <c r="P35" s="91"/>
      <c r="Q35" s="243" t="s">
        <v>474</v>
      </c>
      <c r="T35" s="112" t="s">
        <v>198</v>
      </c>
      <c r="U35" s="108" t="str">
        <f>data_formula_legend!$N8</f>
        <v>Orion</v>
      </c>
      <c r="V35" s="86" t="s">
        <v>148</v>
      </c>
      <c r="W35" s="90"/>
      <c r="X35" s="298" t="s">
        <v>476</v>
      </c>
      <c r="Y35" s="298" t="s">
        <v>476</v>
      </c>
      <c r="AB35" s="112" t="s">
        <v>198</v>
      </c>
      <c r="AC35" s="108" t="str">
        <f>data_formula_legend!$N8</f>
        <v>Orion</v>
      </c>
      <c r="AD35" s="86" t="s">
        <v>462</v>
      </c>
      <c r="AE35" s="90"/>
      <c r="AF35" s="91"/>
      <c r="AG35" s="243" t="s">
        <v>483</v>
      </c>
      <c r="AJ35" s="112" t="s">
        <v>198</v>
      </c>
      <c r="AK35" s="108" t="str">
        <f>data_formula_legend!$N8</f>
        <v>Orion</v>
      </c>
      <c r="AL35" s="86"/>
      <c r="AM35" s="90"/>
      <c r="AN35" s="91"/>
      <c r="AO35" s="92"/>
      <c r="AR35" s="112" t="s">
        <v>198</v>
      </c>
      <c r="AS35" s="108" t="str">
        <f>data_formula_legend!$N8</f>
        <v>Orion</v>
      </c>
      <c r="AT35" s="86"/>
      <c r="AU35" s="90"/>
      <c r="AV35" s="91"/>
      <c r="AW35" s="300"/>
      <c r="AZ35" s="112" t="s">
        <v>198</v>
      </c>
      <c r="BA35" s="108" t="str">
        <f>data_formula_legend!$N8</f>
        <v>Orion</v>
      </c>
      <c r="BB35" s="86"/>
      <c r="BC35" s="90"/>
      <c r="BD35" s="91"/>
      <c r="BE35" s="300"/>
      <c r="BH35" s="112" t="s">
        <v>198</v>
      </c>
      <c r="BI35" s="108" t="str">
        <f>data_formula_legend!$N8</f>
        <v>Orion</v>
      </c>
      <c r="BJ35" s="86"/>
      <c r="BK35" s="90"/>
      <c r="BL35" s="91"/>
      <c r="BM35" s="92"/>
      <c r="BP35" s="112" t="s">
        <v>198</v>
      </c>
      <c r="BQ35" s="108">
        <f>data_formula_legend!BR8</f>
        <v>0</v>
      </c>
      <c r="BR35" s="86"/>
      <c r="BS35" s="90"/>
      <c r="BT35" s="91"/>
      <c r="BU35" s="300"/>
      <c r="BX35" s="112" t="s">
        <v>198</v>
      </c>
      <c r="BY35" s="108">
        <f>data_formula_legend!BZ8</f>
        <v>0</v>
      </c>
      <c r="BZ35" s="86"/>
      <c r="CA35" s="90"/>
      <c r="CB35" s="91"/>
      <c r="CC35" s="300"/>
      <c r="CF35" s="112" t="s">
        <v>198</v>
      </c>
      <c r="CG35" s="108">
        <f>data_formula_legend!CH8</f>
        <v>0</v>
      </c>
      <c r="CH35" s="302"/>
      <c r="CI35" s="306"/>
      <c r="CJ35" s="307"/>
      <c r="CK35" s="300"/>
      <c r="CL35" s="21"/>
      <c r="CN35" s="112" t="s">
        <v>198</v>
      </c>
      <c r="CO35" s="108">
        <f>data_formula_legend!CP8</f>
        <v>0</v>
      </c>
      <c r="CP35" s="86"/>
      <c r="CQ35" s="90"/>
      <c r="CR35" s="91"/>
      <c r="CS35" s="92"/>
    </row>
    <row r="36" spans="1:98" ht="28.8" customHeight="1" thickBot="1" x14ac:dyDescent="0.35">
      <c r="A36" s="212"/>
      <c r="B36" s="319"/>
      <c r="C36" s="215"/>
      <c r="D36" s="418" t="s">
        <v>207</v>
      </c>
      <c r="E36" s="426"/>
      <c r="F36" s="426"/>
      <c r="G36" s="426"/>
      <c r="H36" s="426"/>
      <c r="I36" s="426"/>
      <c r="J36" s="427"/>
      <c r="L36" s="418" t="s">
        <v>207</v>
      </c>
      <c r="M36" s="426"/>
      <c r="N36" s="426"/>
      <c r="O36" s="426"/>
      <c r="P36" s="426"/>
      <c r="Q36" s="426"/>
      <c r="R36" s="427"/>
      <c r="T36" s="418" t="s">
        <v>207</v>
      </c>
      <c r="U36" s="426"/>
      <c r="V36" s="426"/>
      <c r="W36" s="426"/>
      <c r="X36" s="426"/>
      <c r="Y36" s="426"/>
      <c r="Z36" s="427"/>
      <c r="AB36" s="418" t="s">
        <v>207</v>
      </c>
      <c r="AC36" s="426"/>
      <c r="AD36" s="426"/>
      <c r="AE36" s="426"/>
      <c r="AF36" s="426"/>
      <c r="AG36" s="426"/>
      <c r="AH36" s="427"/>
      <c r="AJ36" s="418" t="s">
        <v>207</v>
      </c>
      <c r="AK36" s="426"/>
      <c r="AL36" s="426"/>
      <c r="AM36" s="426"/>
      <c r="AN36" s="426"/>
      <c r="AO36" s="426"/>
      <c r="AP36" s="427"/>
      <c r="AR36" s="418" t="s">
        <v>207</v>
      </c>
      <c r="AS36" s="426"/>
      <c r="AT36" s="426"/>
      <c r="AU36" s="426"/>
      <c r="AV36" s="426"/>
      <c r="AW36" s="426"/>
      <c r="AX36" s="427"/>
      <c r="AZ36" s="418" t="s">
        <v>207</v>
      </c>
      <c r="BA36" s="426"/>
      <c r="BB36" s="426"/>
      <c r="BC36" s="426"/>
      <c r="BD36" s="426"/>
      <c r="BE36" s="426"/>
      <c r="BF36" s="427"/>
      <c r="BH36" s="418" t="s">
        <v>207</v>
      </c>
      <c r="BI36" s="426"/>
      <c r="BJ36" s="426"/>
      <c r="BK36" s="426"/>
      <c r="BL36" s="426"/>
      <c r="BM36" s="426"/>
      <c r="BN36" s="427"/>
      <c r="BP36" s="418" t="s">
        <v>207</v>
      </c>
      <c r="BQ36" s="426"/>
      <c r="BR36" s="426"/>
      <c r="BS36" s="426"/>
      <c r="BT36" s="426"/>
      <c r="BU36" s="426"/>
      <c r="BV36" s="427"/>
      <c r="BX36" s="418" t="s">
        <v>207</v>
      </c>
      <c r="BY36" s="426"/>
      <c r="BZ36" s="426"/>
      <c r="CA36" s="426"/>
      <c r="CB36" s="426"/>
      <c r="CC36" s="426"/>
      <c r="CD36" s="427"/>
      <c r="CF36" s="418" t="s">
        <v>207</v>
      </c>
      <c r="CG36" s="426"/>
      <c r="CH36" s="426"/>
      <c r="CI36" s="426"/>
      <c r="CJ36" s="426"/>
      <c r="CK36" s="426"/>
      <c r="CL36" s="427"/>
      <c r="CN36" s="418" t="s">
        <v>207</v>
      </c>
      <c r="CO36" s="426"/>
      <c r="CP36" s="426"/>
      <c r="CQ36" s="426"/>
      <c r="CR36" s="426"/>
      <c r="CS36" s="426"/>
      <c r="CT36" s="427"/>
    </row>
    <row r="37" spans="1:98" ht="16.8" thickTop="1" thickBot="1" x14ac:dyDescent="0.35">
      <c r="A37" s="212"/>
      <c r="B37" s="213"/>
      <c r="C37" s="215"/>
      <c r="D37" s="462" t="s">
        <v>158</v>
      </c>
      <c r="E37" s="456" t="s">
        <v>163</v>
      </c>
      <c r="F37" s="456"/>
      <c r="G37" s="456"/>
      <c r="H37" s="456"/>
      <c r="I37" s="457"/>
      <c r="J37" s="124"/>
      <c r="L37" s="462" t="s">
        <v>158</v>
      </c>
      <c r="M37" s="456" t="s">
        <v>164</v>
      </c>
      <c r="N37" s="456"/>
      <c r="O37" s="456"/>
      <c r="P37" s="456"/>
      <c r="Q37" s="457"/>
      <c r="R37" s="124"/>
      <c r="T37" s="462" t="s">
        <v>158</v>
      </c>
      <c r="U37" s="456" t="s">
        <v>394</v>
      </c>
      <c r="V37" s="456"/>
      <c r="W37" s="456"/>
      <c r="X37" s="456"/>
      <c r="Y37" s="457"/>
      <c r="Z37" s="124"/>
      <c r="AB37" s="462" t="s">
        <v>158</v>
      </c>
      <c r="AC37" s="456" t="s">
        <v>485</v>
      </c>
      <c r="AD37" s="456"/>
      <c r="AE37" s="456"/>
      <c r="AF37" s="456"/>
      <c r="AG37" s="457"/>
      <c r="AH37" s="124"/>
      <c r="AJ37" s="462" t="s">
        <v>158</v>
      </c>
      <c r="AK37" s="456" t="s">
        <v>492</v>
      </c>
      <c r="AL37" s="456"/>
      <c r="AM37" s="456"/>
      <c r="AN37" s="456"/>
      <c r="AO37" s="457"/>
      <c r="AP37" s="124"/>
      <c r="AR37" s="462" t="s">
        <v>158</v>
      </c>
      <c r="AS37" s="456" t="s">
        <v>305</v>
      </c>
      <c r="AT37" s="456"/>
      <c r="AU37" s="456"/>
      <c r="AV37" s="456"/>
      <c r="AW37" s="457"/>
      <c r="AX37" s="124"/>
      <c r="AZ37" s="462" t="s">
        <v>158</v>
      </c>
      <c r="BA37" s="456" t="s">
        <v>306</v>
      </c>
      <c r="BB37" s="456"/>
      <c r="BC37" s="456"/>
      <c r="BD37" s="456"/>
      <c r="BE37" s="457"/>
      <c r="BF37" s="124"/>
      <c r="BH37" s="462" t="s">
        <v>158</v>
      </c>
      <c r="BI37" s="456" t="s">
        <v>308</v>
      </c>
      <c r="BJ37" s="456"/>
      <c r="BK37" s="456"/>
      <c r="BL37" s="456"/>
      <c r="BM37" s="457"/>
      <c r="BN37" s="124"/>
      <c r="BP37" s="462" t="s">
        <v>158</v>
      </c>
      <c r="BQ37" s="456" t="s">
        <v>313</v>
      </c>
      <c r="BR37" s="456"/>
      <c r="BS37" s="456"/>
      <c r="BT37" s="456"/>
      <c r="BU37" s="457"/>
      <c r="BV37" s="124"/>
      <c r="BX37" s="462" t="s">
        <v>158</v>
      </c>
      <c r="BY37" s="456" t="s">
        <v>318</v>
      </c>
      <c r="BZ37" s="456"/>
      <c r="CA37" s="456"/>
      <c r="CB37" s="456"/>
      <c r="CC37" s="457"/>
      <c r="CD37" s="124"/>
      <c r="CF37" s="462" t="s">
        <v>158</v>
      </c>
      <c r="CG37" s="456" t="s">
        <v>506</v>
      </c>
      <c r="CH37" s="456"/>
      <c r="CI37" s="456"/>
      <c r="CJ37" s="456"/>
      <c r="CK37" s="457"/>
      <c r="CL37" s="124"/>
      <c r="CN37" s="462" t="s">
        <v>158</v>
      </c>
      <c r="CO37" s="456" t="s">
        <v>510</v>
      </c>
      <c r="CP37" s="456"/>
      <c r="CQ37" s="456"/>
      <c r="CR37" s="456"/>
      <c r="CS37" s="457"/>
      <c r="CT37" s="124"/>
    </row>
    <row r="38" spans="1:98" ht="15.6" customHeight="1" thickTop="1" thickBot="1" x14ac:dyDescent="0.35">
      <c r="A38" s="212"/>
      <c r="B38" s="318" t="s">
        <v>273</v>
      </c>
      <c r="C38" s="215"/>
      <c r="D38" s="328"/>
      <c r="E38" s="458"/>
      <c r="F38" s="458"/>
      <c r="G38" s="458"/>
      <c r="H38" s="458"/>
      <c r="I38" s="459"/>
      <c r="J38" s="124"/>
      <c r="L38" s="328"/>
      <c r="M38" s="458"/>
      <c r="N38" s="458"/>
      <c r="O38" s="458"/>
      <c r="P38" s="458"/>
      <c r="Q38" s="459"/>
      <c r="R38" s="124"/>
      <c r="T38" s="328"/>
      <c r="U38" s="458"/>
      <c r="V38" s="458"/>
      <c r="W38" s="458"/>
      <c r="X38" s="458"/>
      <c r="Y38" s="459"/>
      <c r="Z38" s="124"/>
      <c r="AB38" s="328"/>
      <c r="AC38" s="458"/>
      <c r="AD38" s="458"/>
      <c r="AE38" s="458"/>
      <c r="AF38" s="458"/>
      <c r="AG38" s="459"/>
      <c r="AH38" s="124"/>
      <c r="AJ38" s="328"/>
      <c r="AK38" s="458"/>
      <c r="AL38" s="458"/>
      <c r="AM38" s="458"/>
      <c r="AN38" s="458"/>
      <c r="AO38" s="459"/>
      <c r="AP38" s="124"/>
      <c r="AR38" s="328"/>
      <c r="AS38" s="458"/>
      <c r="AT38" s="458"/>
      <c r="AU38" s="458"/>
      <c r="AV38" s="458"/>
      <c r="AW38" s="459"/>
      <c r="AX38" s="124"/>
      <c r="AZ38" s="328"/>
      <c r="BA38" s="458"/>
      <c r="BB38" s="458"/>
      <c r="BC38" s="458"/>
      <c r="BD38" s="458"/>
      <c r="BE38" s="459"/>
      <c r="BF38" s="124"/>
      <c r="BH38" s="328"/>
      <c r="BI38" s="458"/>
      <c r="BJ38" s="458"/>
      <c r="BK38" s="458"/>
      <c r="BL38" s="458"/>
      <c r="BM38" s="459"/>
      <c r="BN38" s="124"/>
      <c r="BP38" s="328"/>
      <c r="BQ38" s="458"/>
      <c r="BR38" s="458"/>
      <c r="BS38" s="458"/>
      <c r="BT38" s="458"/>
      <c r="BU38" s="459"/>
      <c r="BV38" s="124"/>
      <c r="BX38" s="328"/>
      <c r="BY38" s="458"/>
      <c r="BZ38" s="458"/>
      <c r="CA38" s="458"/>
      <c r="CB38" s="458"/>
      <c r="CC38" s="459"/>
      <c r="CD38" s="124"/>
      <c r="CF38" s="328"/>
      <c r="CG38" s="458"/>
      <c r="CH38" s="458"/>
      <c r="CI38" s="458"/>
      <c r="CJ38" s="458"/>
      <c r="CK38" s="459"/>
      <c r="CL38" s="124"/>
      <c r="CN38" s="328"/>
      <c r="CO38" s="458"/>
      <c r="CP38" s="458"/>
      <c r="CQ38" s="458"/>
      <c r="CR38" s="458"/>
      <c r="CS38" s="459"/>
      <c r="CT38" s="124"/>
    </row>
    <row r="39" spans="1:98" ht="15" customHeight="1" thickBot="1" x14ac:dyDescent="0.35">
      <c r="A39" s="212"/>
      <c r="B39" s="319"/>
      <c r="C39" s="215"/>
      <c r="D39" s="328" t="s">
        <v>159</v>
      </c>
      <c r="E39" s="460" t="s">
        <v>379</v>
      </c>
      <c r="F39" s="460"/>
      <c r="G39" s="460"/>
      <c r="H39" s="460"/>
      <c r="I39" s="461"/>
      <c r="J39" s="124"/>
      <c r="L39" s="328" t="s">
        <v>159</v>
      </c>
      <c r="M39" s="460" t="s">
        <v>475</v>
      </c>
      <c r="N39" s="460"/>
      <c r="O39" s="460"/>
      <c r="P39" s="460"/>
      <c r="Q39" s="461"/>
      <c r="R39" s="124"/>
      <c r="T39" s="328" t="s">
        <v>159</v>
      </c>
      <c r="U39" s="460" t="s">
        <v>78</v>
      </c>
      <c r="V39" s="460"/>
      <c r="W39" s="460"/>
      <c r="X39" s="460"/>
      <c r="Y39" s="461"/>
      <c r="Z39" s="124"/>
      <c r="AB39" s="328" t="s">
        <v>159</v>
      </c>
      <c r="AC39" s="460" t="s">
        <v>486</v>
      </c>
      <c r="AD39" s="460"/>
      <c r="AE39" s="460"/>
      <c r="AF39" s="460"/>
      <c r="AG39" s="461"/>
      <c r="AH39" s="124"/>
      <c r="AJ39" s="328" t="s">
        <v>159</v>
      </c>
      <c r="AK39" s="460" t="s">
        <v>300</v>
      </c>
      <c r="AL39" s="460"/>
      <c r="AM39" s="460"/>
      <c r="AN39" s="460"/>
      <c r="AO39" s="461"/>
      <c r="AP39" s="124"/>
      <c r="AR39" s="328" t="s">
        <v>159</v>
      </c>
      <c r="AS39" s="460" t="s">
        <v>304</v>
      </c>
      <c r="AT39" s="460"/>
      <c r="AU39" s="460"/>
      <c r="AV39" s="460"/>
      <c r="AW39" s="461"/>
      <c r="AX39" s="124"/>
      <c r="AZ39" s="328" t="s">
        <v>159</v>
      </c>
      <c r="BA39" s="456" t="s">
        <v>397</v>
      </c>
      <c r="BB39" s="456"/>
      <c r="BC39" s="456"/>
      <c r="BD39" s="456"/>
      <c r="BE39" s="457"/>
      <c r="BF39" s="124"/>
      <c r="BH39" s="328" t="s">
        <v>159</v>
      </c>
      <c r="BI39" s="460" t="s">
        <v>421</v>
      </c>
      <c r="BJ39" s="460"/>
      <c r="BK39" s="460"/>
      <c r="BL39" s="460"/>
      <c r="BM39" s="461"/>
      <c r="BN39" s="124"/>
      <c r="BP39" s="328" t="s">
        <v>159</v>
      </c>
      <c r="BQ39" s="460" t="s">
        <v>314</v>
      </c>
      <c r="BR39" s="460"/>
      <c r="BS39" s="460"/>
      <c r="BT39" s="460"/>
      <c r="BU39" s="461"/>
      <c r="BV39" s="124"/>
      <c r="BX39" s="328" t="s">
        <v>159</v>
      </c>
      <c r="BY39" s="460" t="s">
        <v>320</v>
      </c>
      <c r="BZ39" s="460"/>
      <c r="CA39" s="460"/>
      <c r="CB39" s="460"/>
      <c r="CC39" s="461"/>
      <c r="CD39" s="124"/>
      <c r="CF39" s="328" t="s">
        <v>159</v>
      </c>
      <c r="CG39" s="460" t="s">
        <v>427</v>
      </c>
      <c r="CH39" s="460"/>
      <c r="CI39" s="460"/>
      <c r="CJ39" s="460"/>
      <c r="CK39" s="461"/>
      <c r="CL39" s="124"/>
      <c r="CN39" s="328" t="s">
        <v>159</v>
      </c>
      <c r="CO39" s="460"/>
      <c r="CP39" s="460"/>
      <c r="CQ39" s="460"/>
      <c r="CR39" s="460"/>
      <c r="CS39" s="461"/>
      <c r="CT39" s="124"/>
    </row>
    <row r="40" spans="1:98" ht="16.8" thickTop="1" thickBot="1" x14ac:dyDescent="0.35">
      <c r="A40" s="212"/>
      <c r="B40" s="213"/>
      <c r="C40" s="215"/>
      <c r="D40" s="328"/>
      <c r="E40" s="460"/>
      <c r="F40" s="460"/>
      <c r="G40" s="460"/>
      <c r="H40" s="460"/>
      <c r="I40" s="461"/>
      <c r="J40" s="124"/>
      <c r="L40" s="328"/>
      <c r="M40" s="460"/>
      <c r="N40" s="460"/>
      <c r="O40" s="460"/>
      <c r="P40" s="460"/>
      <c r="Q40" s="461"/>
      <c r="R40" s="124"/>
      <c r="T40" s="328"/>
      <c r="U40" s="460"/>
      <c r="V40" s="460"/>
      <c r="W40" s="460"/>
      <c r="X40" s="460"/>
      <c r="Y40" s="461"/>
      <c r="Z40" s="124"/>
      <c r="AB40" s="328"/>
      <c r="AC40" s="460"/>
      <c r="AD40" s="460"/>
      <c r="AE40" s="460"/>
      <c r="AF40" s="460"/>
      <c r="AG40" s="461"/>
      <c r="AH40" s="124"/>
      <c r="AJ40" s="328"/>
      <c r="AK40" s="460"/>
      <c r="AL40" s="460"/>
      <c r="AM40" s="460"/>
      <c r="AN40" s="460"/>
      <c r="AO40" s="461"/>
      <c r="AP40" s="124"/>
      <c r="AR40" s="328"/>
      <c r="AS40" s="460"/>
      <c r="AT40" s="460"/>
      <c r="AU40" s="460"/>
      <c r="AV40" s="460"/>
      <c r="AW40" s="461"/>
      <c r="AX40" s="124"/>
      <c r="AZ40" s="328"/>
      <c r="BA40" s="458"/>
      <c r="BB40" s="458"/>
      <c r="BC40" s="458"/>
      <c r="BD40" s="458"/>
      <c r="BE40" s="459"/>
      <c r="BF40" s="124"/>
      <c r="BH40" s="328"/>
      <c r="BI40" s="460"/>
      <c r="BJ40" s="460"/>
      <c r="BK40" s="460"/>
      <c r="BL40" s="460"/>
      <c r="BM40" s="461"/>
      <c r="BN40" s="124"/>
      <c r="BP40" s="328"/>
      <c r="BQ40" s="460"/>
      <c r="BR40" s="460"/>
      <c r="BS40" s="460"/>
      <c r="BT40" s="460"/>
      <c r="BU40" s="461"/>
      <c r="BV40" s="124"/>
      <c r="BX40" s="328"/>
      <c r="BY40" s="460"/>
      <c r="BZ40" s="460"/>
      <c r="CA40" s="460"/>
      <c r="CB40" s="460"/>
      <c r="CC40" s="461"/>
      <c r="CD40" s="124"/>
      <c r="CF40" s="328"/>
      <c r="CG40" s="460"/>
      <c r="CH40" s="460"/>
      <c r="CI40" s="460"/>
      <c r="CJ40" s="460"/>
      <c r="CK40" s="461"/>
      <c r="CL40" s="124"/>
      <c r="CN40" s="328"/>
      <c r="CO40" s="460"/>
      <c r="CP40" s="460"/>
      <c r="CQ40" s="460"/>
      <c r="CR40" s="460"/>
      <c r="CS40" s="461"/>
      <c r="CT40" s="124"/>
    </row>
    <row r="41" spans="1:98" ht="15" customHeight="1" thickTop="1" x14ac:dyDescent="0.3">
      <c r="A41" s="212"/>
      <c r="B41" s="318" t="s">
        <v>274</v>
      </c>
      <c r="C41" s="215"/>
      <c r="D41" s="328" t="s">
        <v>160</v>
      </c>
      <c r="E41" s="452" t="s">
        <v>473</v>
      </c>
      <c r="F41" s="452"/>
      <c r="G41" s="452"/>
      <c r="H41" s="452"/>
      <c r="I41" s="453"/>
      <c r="J41" s="124"/>
      <c r="L41" s="328" t="s">
        <v>160</v>
      </c>
      <c r="M41" s="452" t="s">
        <v>211</v>
      </c>
      <c r="N41" s="452"/>
      <c r="O41" s="452"/>
      <c r="P41" s="452"/>
      <c r="Q41" s="453"/>
      <c r="R41" s="124"/>
      <c r="T41" s="328" t="s">
        <v>160</v>
      </c>
      <c r="U41" s="452" t="s">
        <v>481</v>
      </c>
      <c r="V41" s="452"/>
      <c r="W41" s="452"/>
      <c r="X41" s="452"/>
      <c r="Y41" s="453"/>
      <c r="Z41" s="124"/>
      <c r="AB41" s="328" t="s">
        <v>160</v>
      </c>
      <c r="AC41" s="452" t="s">
        <v>487</v>
      </c>
      <c r="AD41" s="452"/>
      <c r="AE41" s="452"/>
      <c r="AF41" s="452"/>
      <c r="AG41" s="453"/>
      <c r="AH41" s="124"/>
      <c r="AJ41" s="328" t="s">
        <v>160</v>
      </c>
      <c r="AK41" s="452" t="s">
        <v>301</v>
      </c>
      <c r="AL41" s="452"/>
      <c r="AM41" s="452"/>
      <c r="AN41" s="452"/>
      <c r="AO41" s="453"/>
      <c r="AP41" s="124"/>
      <c r="AR41" s="328" t="s">
        <v>160</v>
      </c>
      <c r="AS41" s="452" t="s">
        <v>395</v>
      </c>
      <c r="AT41" s="452"/>
      <c r="AU41" s="452"/>
      <c r="AV41" s="452"/>
      <c r="AW41" s="453"/>
      <c r="AX41" s="124"/>
      <c r="AZ41" s="328" t="s">
        <v>160</v>
      </c>
      <c r="BA41" s="452" t="s">
        <v>396</v>
      </c>
      <c r="BB41" s="452"/>
      <c r="BC41" s="452"/>
      <c r="BD41" s="452"/>
      <c r="BE41" s="453"/>
      <c r="BF41" s="124"/>
      <c r="BH41" s="328" t="s">
        <v>160</v>
      </c>
      <c r="BI41" s="452" t="s">
        <v>422</v>
      </c>
      <c r="BJ41" s="452"/>
      <c r="BK41" s="452"/>
      <c r="BL41" s="452"/>
      <c r="BM41" s="453"/>
      <c r="BN41" s="124"/>
      <c r="BP41" s="328" t="s">
        <v>160</v>
      </c>
      <c r="BQ41" s="452" t="s">
        <v>315</v>
      </c>
      <c r="BR41" s="452"/>
      <c r="BS41" s="452"/>
      <c r="BT41" s="452"/>
      <c r="BU41" s="453"/>
      <c r="BV41" s="124"/>
      <c r="BX41" s="328" t="s">
        <v>160</v>
      </c>
      <c r="BY41" s="452" t="s">
        <v>317</v>
      </c>
      <c r="BZ41" s="452"/>
      <c r="CA41" s="452"/>
      <c r="CB41" s="452"/>
      <c r="CC41" s="453"/>
      <c r="CD41" s="124"/>
      <c r="CF41" s="328" t="s">
        <v>160</v>
      </c>
      <c r="CG41" s="452" t="s">
        <v>505</v>
      </c>
      <c r="CH41" s="452"/>
      <c r="CI41" s="452"/>
      <c r="CJ41" s="452"/>
      <c r="CK41" s="453"/>
      <c r="CL41" s="124"/>
      <c r="CN41" s="328" t="s">
        <v>160</v>
      </c>
      <c r="CO41" s="452"/>
      <c r="CP41" s="452"/>
      <c r="CQ41" s="452"/>
      <c r="CR41" s="452"/>
      <c r="CS41" s="453"/>
      <c r="CT41" s="124"/>
    </row>
    <row r="42" spans="1:98" ht="15" customHeight="1" thickBot="1" x14ac:dyDescent="0.35">
      <c r="A42" s="212"/>
      <c r="B42" s="319"/>
      <c r="C42" s="215"/>
      <c r="D42" s="451"/>
      <c r="E42" s="454"/>
      <c r="F42" s="454"/>
      <c r="G42" s="454"/>
      <c r="H42" s="454"/>
      <c r="I42" s="455"/>
      <c r="J42" s="125"/>
      <c r="L42" s="451"/>
      <c r="M42" s="454"/>
      <c r="N42" s="454"/>
      <c r="O42" s="454"/>
      <c r="P42" s="454"/>
      <c r="Q42" s="455"/>
      <c r="R42" s="125"/>
      <c r="T42" s="451"/>
      <c r="U42" s="454"/>
      <c r="V42" s="454"/>
      <c r="W42" s="454"/>
      <c r="X42" s="454"/>
      <c r="Y42" s="455"/>
      <c r="Z42" s="125"/>
      <c r="AB42" s="451"/>
      <c r="AC42" s="454"/>
      <c r="AD42" s="454"/>
      <c r="AE42" s="454"/>
      <c r="AF42" s="454"/>
      <c r="AG42" s="455"/>
      <c r="AH42" s="125"/>
      <c r="AJ42" s="451"/>
      <c r="AK42" s="454"/>
      <c r="AL42" s="454"/>
      <c r="AM42" s="454"/>
      <c r="AN42" s="454"/>
      <c r="AO42" s="455"/>
      <c r="AP42" s="125"/>
      <c r="AR42" s="451"/>
      <c r="AS42" s="454"/>
      <c r="AT42" s="454"/>
      <c r="AU42" s="454"/>
      <c r="AV42" s="454"/>
      <c r="AW42" s="455"/>
      <c r="AX42" s="125"/>
      <c r="AZ42" s="451"/>
      <c r="BA42" s="454"/>
      <c r="BB42" s="454"/>
      <c r="BC42" s="454"/>
      <c r="BD42" s="454"/>
      <c r="BE42" s="455"/>
      <c r="BF42" s="125"/>
      <c r="BH42" s="451"/>
      <c r="BI42" s="454"/>
      <c r="BJ42" s="454"/>
      <c r="BK42" s="454"/>
      <c r="BL42" s="454"/>
      <c r="BM42" s="455"/>
      <c r="BN42" s="125"/>
      <c r="BP42" s="451"/>
      <c r="BQ42" s="454"/>
      <c r="BR42" s="454"/>
      <c r="BS42" s="454"/>
      <c r="BT42" s="454"/>
      <c r="BU42" s="455"/>
      <c r="BV42" s="125"/>
      <c r="BX42" s="451"/>
      <c r="BY42" s="454"/>
      <c r="BZ42" s="454"/>
      <c r="CA42" s="454"/>
      <c r="CB42" s="454"/>
      <c r="CC42" s="455"/>
      <c r="CD42" s="125"/>
      <c r="CF42" s="451"/>
      <c r="CG42" s="454"/>
      <c r="CH42" s="454"/>
      <c r="CI42" s="454"/>
      <c r="CJ42" s="454"/>
      <c r="CK42" s="455"/>
      <c r="CL42" s="125"/>
      <c r="CN42" s="451"/>
      <c r="CO42" s="454"/>
      <c r="CP42" s="454"/>
      <c r="CQ42" s="454"/>
      <c r="CR42" s="454"/>
      <c r="CS42" s="455"/>
      <c r="CT42" s="125"/>
    </row>
    <row r="43" spans="1:98" ht="24.6" thickTop="1" thickBot="1" x14ac:dyDescent="0.35">
      <c r="A43" s="212"/>
      <c r="B43" s="213"/>
      <c r="C43" s="215"/>
      <c r="D43" s="418" t="s">
        <v>210</v>
      </c>
      <c r="E43" s="426"/>
      <c r="F43" s="426"/>
      <c r="G43" s="426"/>
      <c r="H43" s="426"/>
      <c r="I43" s="426"/>
      <c r="J43" s="427"/>
      <c r="L43" s="418" t="s">
        <v>210</v>
      </c>
      <c r="M43" s="426"/>
      <c r="N43" s="426"/>
      <c r="O43" s="426"/>
      <c r="P43" s="426"/>
      <c r="Q43" s="426"/>
      <c r="R43" s="427"/>
      <c r="T43" s="418" t="s">
        <v>210</v>
      </c>
      <c r="U43" s="426"/>
      <c r="V43" s="426"/>
      <c r="W43" s="426"/>
      <c r="X43" s="426"/>
      <c r="Y43" s="426"/>
      <c r="Z43" s="427"/>
      <c r="AB43" s="418" t="s">
        <v>210</v>
      </c>
      <c r="AC43" s="426"/>
      <c r="AD43" s="426"/>
      <c r="AE43" s="426"/>
      <c r="AF43" s="426"/>
      <c r="AG43" s="426"/>
      <c r="AH43" s="427"/>
      <c r="AJ43" s="418" t="s">
        <v>210</v>
      </c>
      <c r="AK43" s="426"/>
      <c r="AL43" s="426"/>
      <c r="AM43" s="426"/>
      <c r="AN43" s="426"/>
      <c r="AO43" s="426"/>
      <c r="AP43" s="427"/>
      <c r="AR43" s="418" t="s">
        <v>210</v>
      </c>
      <c r="AS43" s="426"/>
      <c r="AT43" s="426"/>
      <c r="AU43" s="426"/>
      <c r="AV43" s="426"/>
      <c r="AW43" s="426"/>
      <c r="AX43" s="427"/>
      <c r="AZ43" s="418" t="s">
        <v>210</v>
      </c>
      <c r="BA43" s="426"/>
      <c r="BB43" s="426"/>
      <c r="BC43" s="426"/>
      <c r="BD43" s="426"/>
      <c r="BE43" s="426"/>
      <c r="BF43" s="427"/>
      <c r="BH43" s="418" t="s">
        <v>210</v>
      </c>
      <c r="BI43" s="426"/>
      <c r="BJ43" s="426"/>
      <c r="BK43" s="426"/>
      <c r="BL43" s="426"/>
      <c r="BM43" s="426"/>
      <c r="BN43" s="427"/>
      <c r="BP43" s="418" t="s">
        <v>210</v>
      </c>
      <c r="BQ43" s="426"/>
      <c r="BR43" s="426"/>
      <c r="BS43" s="426"/>
      <c r="BT43" s="426"/>
      <c r="BU43" s="426"/>
      <c r="BV43" s="427"/>
      <c r="BX43" s="418" t="s">
        <v>210</v>
      </c>
      <c r="BY43" s="426"/>
      <c r="BZ43" s="426"/>
      <c r="CA43" s="426"/>
      <c r="CB43" s="426"/>
      <c r="CC43" s="426"/>
      <c r="CD43" s="427"/>
      <c r="CF43" s="418" t="s">
        <v>210</v>
      </c>
      <c r="CG43" s="426"/>
      <c r="CH43" s="426"/>
      <c r="CI43" s="426"/>
      <c r="CJ43" s="426"/>
      <c r="CK43" s="426"/>
      <c r="CL43" s="427"/>
      <c r="CN43" s="418" t="s">
        <v>210</v>
      </c>
      <c r="CO43" s="426"/>
      <c r="CP43" s="426"/>
      <c r="CQ43" s="426"/>
      <c r="CR43" s="426"/>
      <c r="CS43" s="426"/>
      <c r="CT43" s="427"/>
    </row>
    <row r="44" spans="1:98" ht="15.6" customHeight="1" thickTop="1" thickBot="1" x14ac:dyDescent="0.35">
      <c r="A44" s="212"/>
      <c r="B44" s="318" t="s">
        <v>275</v>
      </c>
      <c r="C44" s="215"/>
      <c r="D44" s="415" t="s">
        <v>162</v>
      </c>
      <c r="E44" s="416"/>
      <c r="F44" s="416"/>
      <c r="G44" s="416"/>
      <c r="H44" s="416"/>
      <c r="I44" s="416"/>
      <c r="J44" s="417"/>
      <c r="L44" s="415"/>
      <c r="M44" s="416"/>
      <c r="N44" s="416"/>
      <c r="O44" s="416"/>
      <c r="P44" s="416"/>
      <c r="Q44" s="416"/>
      <c r="R44" s="417"/>
      <c r="T44" s="415" t="s">
        <v>482</v>
      </c>
      <c r="U44" s="416"/>
      <c r="V44" s="416"/>
      <c r="W44" s="416"/>
      <c r="X44" s="416"/>
      <c r="Y44" s="416"/>
      <c r="Z44" s="417"/>
      <c r="AB44" s="415" t="s">
        <v>484</v>
      </c>
      <c r="AC44" s="416"/>
      <c r="AD44" s="416"/>
      <c r="AE44" s="416"/>
      <c r="AF44" s="416"/>
      <c r="AG44" s="416"/>
      <c r="AH44" s="417"/>
      <c r="AJ44" s="415" t="s">
        <v>299</v>
      </c>
      <c r="AK44" s="416"/>
      <c r="AL44" s="416"/>
      <c r="AM44" s="416"/>
      <c r="AN44" s="416"/>
      <c r="AO44" s="416"/>
      <c r="AP44" s="417"/>
      <c r="AR44" s="415" t="s">
        <v>303</v>
      </c>
      <c r="AS44" s="416"/>
      <c r="AT44" s="416"/>
      <c r="AU44" s="416"/>
      <c r="AV44" s="416"/>
      <c r="AW44" s="416"/>
      <c r="AX44" s="417"/>
      <c r="AZ44" s="415" t="s">
        <v>303</v>
      </c>
      <c r="BA44" s="416"/>
      <c r="BB44" s="416"/>
      <c r="BC44" s="416"/>
      <c r="BD44" s="416"/>
      <c r="BE44" s="416"/>
      <c r="BF44" s="417"/>
      <c r="BH44" s="415" t="s">
        <v>307</v>
      </c>
      <c r="BI44" s="416"/>
      <c r="BJ44" s="416"/>
      <c r="BK44" s="416"/>
      <c r="BL44" s="416"/>
      <c r="BM44" s="416"/>
      <c r="BN44" s="417"/>
      <c r="BP44" s="415" t="s">
        <v>312</v>
      </c>
      <c r="BQ44" s="416"/>
      <c r="BR44" s="416"/>
      <c r="BS44" s="416"/>
      <c r="BT44" s="416"/>
      <c r="BU44" s="416"/>
      <c r="BV44" s="417"/>
      <c r="BX44" s="415" t="s">
        <v>316</v>
      </c>
      <c r="BY44" s="416"/>
      <c r="BZ44" s="416"/>
      <c r="CA44" s="416"/>
      <c r="CB44" s="416"/>
      <c r="CC44" s="416"/>
      <c r="CD44" s="417"/>
      <c r="CF44" s="415" t="s">
        <v>504</v>
      </c>
      <c r="CG44" s="416"/>
      <c r="CH44" s="416"/>
      <c r="CI44" s="416"/>
      <c r="CJ44" s="416"/>
      <c r="CK44" s="416"/>
      <c r="CL44" s="417"/>
      <c r="CN44" s="415"/>
      <c r="CO44" s="416"/>
      <c r="CP44" s="416"/>
      <c r="CQ44" s="416"/>
      <c r="CR44" s="416"/>
      <c r="CS44" s="416"/>
      <c r="CT44" s="417"/>
    </row>
    <row r="45" spans="1:98" ht="15" customHeight="1" thickBot="1" x14ac:dyDescent="0.35">
      <c r="A45" s="212"/>
      <c r="B45" s="319"/>
      <c r="C45" s="215"/>
      <c r="D45" s="415"/>
      <c r="E45" s="416"/>
      <c r="F45" s="416"/>
      <c r="G45" s="416"/>
      <c r="H45" s="416"/>
      <c r="I45" s="416"/>
      <c r="J45" s="417"/>
      <c r="L45" s="415"/>
      <c r="M45" s="416"/>
      <c r="N45" s="416"/>
      <c r="O45" s="416"/>
      <c r="P45" s="416"/>
      <c r="Q45" s="416"/>
      <c r="R45" s="417"/>
      <c r="T45" s="463" t="s">
        <v>216</v>
      </c>
      <c r="U45" s="464"/>
      <c r="V45" s="464"/>
      <c r="W45" s="464"/>
      <c r="X45" s="464"/>
      <c r="Y45" s="464"/>
      <c r="Z45" s="465"/>
      <c r="AB45" s="415"/>
      <c r="AC45" s="416"/>
      <c r="AD45" s="416"/>
      <c r="AE45" s="416"/>
      <c r="AF45" s="416"/>
      <c r="AG45" s="416"/>
      <c r="AH45" s="417"/>
      <c r="AJ45" s="415"/>
      <c r="AK45" s="416"/>
      <c r="AL45" s="416"/>
      <c r="AM45" s="416"/>
      <c r="AN45" s="416"/>
      <c r="AO45" s="416"/>
      <c r="AP45" s="417"/>
      <c r="AR45" s="415"/>
      <c r="AS45" s="416"/>
      <c r="AT45" s="416"/>
      <c r="AU45" s="416"/>
      <c r="AV45" s="416"/>
      <c r="AW45" s="416"/>
      <c r="AX45" s="417"/>
      <c r="AZ45" s="415"/>
      <c r="BA45" s="416"/>
      <c r="BB45" s="416"/>
      <c r="BC45" s="416"/>
      <c r="BD45" s="416"/>
      <c r="BE45" s="416"/>
      <c r="BF45" s="417"/>
      <c r="BH45" s="415"/>
      <c r="BI45" s="416"/>
      <c r="BJ45" s="416"/>
      <c r="BK45" s="416"/>
      <c r="BL45" s="416"/>
      <c r="BM45" s="416"/>
      <c r="BN45" s="417"/>
      <c r="BP45" s="415"/>
      <c r="BQ45" s="416"/>
      <c r="BR45" s="416"/>
      <c r="BS45" s="416"/>
      <c r="BT45" s="416"/>
      <c r="BU45" s="416"/>
      <c r="BV45" s="417"/>
      <c r="BX45" s="415"/>
      <c r="BY45" s="416"/>
      <c r="BZ45" s="416"/>
      <c r="CA45" s="416"/>
      <c r="CB45" s="416"/>
      <c r="CC45" s="416"/>
      <c r="CD45" s="417"/>
      <c r="CF45" s="415"/>
      <c r="CG45" s="416"/>
      <c r="CH45" s="416"/>
      <c r="CI45" s="416"/>
      <c r="CJ45" s="416"/>
      <c r="CK45" s="416"/>
      <c r="CL45" s="417"/>
      <c r="CN45" s="415"/>
      <c r="CO45" s="416"/>
      <c r="CP45" s="416"/>
      <c r="CQ45" s="416"/>
      <c r="CR45" s="416"/>
      <c r="CS45" s="416"/>
      <c r="CT45" s="417"/>
    </row>
    <row r="46" spans="1:98" ht="24.6" thickTop="1" thickBot="1" x14ac:dyDescent="0.35">
      <c r="A46" s="212"/>
      <c r="B46" s="213"/>
      <c r="C46" s="215"/>
      <c r="CF46" s="418" t="s">
        <v>398</v>
      </c>
      <c r="CG46" s="426"/>
      <c r="CH46" s="426"/>
      <c r="CI46" s="426"/>
      <c r="CJ46" s="426"/>
      <c r="CK46" s="426"/>
      <c r="CL46" s="427"/>
    </row>
    <row r="47" spans="1:98" ht="15" customHeight="1" thickTop="1" x14ac:dyDescent="0.3">
      <c r="A47" s="212"/>
      <c r="B47" s="318" t="s">
        <v>276</v>
      </c>
      <c r="C47" s="215"/>
      <c r="CF47" s="19"/>
      <c r="CG47" s="432" t="s">
        <v>399</v>
      </c>
      <c r="CH47" s="432"/>
      <c r="CI47" s="432"/>
      <c r="CJ47" s="432" t="s">
        <v>400</v>
      </c>
      <c r="CK47" s="432"/>
      <c r="CL47" s="433"/>
    </row>
    <row r="48" spans="1:98" ht="36" customHeight="1" thickBot="1" x14ac:dyDescent="0.35">
      <c r="A48" s="212"/>
      <c r="B48" s="319"/>
      <c r="C48" s="215"/>
      <c r="CF48" s="251" t="s">
        <v>401</v>
      </c>
      <c r="CG48" s="434"/>
      <c r="CH48" s="434"/>
      <c r="CI48" s="434"/>
      <c r="CJ48" s="434" t="s">
        <v>507</v>
      </c>
      <c r="CK48" s="434"/>
      <c r="CL48" s="437"/>
    </row>
    <row r="49" spans="1:90" ht="16.8" thickTop="1" thickBot="1" x14ac:dyDescent="0.35">
      <c r="A49" s="212"/>
      <c r="B49" s="213"/>
      <c r="C49" s="215"/>
      <c r="CF49" s="251" t="s">
        <v>402</v>
      </c>
      <c r="CG49" s="4"/>
      <c r="CH49" s="4"/>
      <c r="CI49" s="4"/>
      <c r="CJ49" s="435" t="s">
        <v>508</v>
      </c>
      <c r="CK49" s="435"/>
      <c r="CL49" s="436"/>
    </row>
    <row r="50" spans="1:90" ht="24" thickTop="1" x14ac:dyDescent="0.3">
      <c r="A50" s="212"/>
      <c r="B50" s="318" t="s">
        <v>277</v>
      </c>
      <c r="C50" s="215"/>
      <c r="CF50" s="418" t="s">
        <v>403</v>
      </c>
      <c r="CG50" s="426"/>
      <c r="CH50" s="426"/>
      <c r="CI50" s="426"/>
      <c r="CJ50" s="426"/>
      <c r="CK50" s="426"/>
      <c r="CL50" s="427"/>
    </row>
    <row r="51" spans="1:90" ht="15" customHeight="1" thickBot="1" x14ac:dyDescent="0.35">
      <c r="A51" s="212"/>
      <c r="B51" s="319"/>
      <c r="C51" s="215"/>
      <c r="CF51" s="19"/>
      <c r="CG51" s="263" t="s">
        <v>406</v>
      </c>
      <c r="CH51" s="263" t="s">
        <v>407</v>
      </c>
      <c r="CI51" s="263" t="s">
        <v>408</v>
      </c>
      <c r="CJ51" s="266"/>
      <c r="CK51" s="4"/>
      <c r="CL51" s="264"/>
    </row>
    <row r="52" spans="1:90" ht="30" customHeight="1" thickTop="1" x14ac:dyDescent="0.3">
      <c r="A52" s="212"/>
      <c r="B52" s="213"/>
      <c r="C52" s="215"/>
      <c r="CF52" s="19" t="s">
        <v>404</v>
      </c>
      <c r="CG52" s="311" cm="1">
        <f t="array" ref="CG52:CI52">flight[]</f>
        <v>0.64930555555555558</v>
      </c>
      <c r="CH52" s="311">
        <v>0.64930555555555558</v>
      </c>
      <c r="CI52" s="265" t="str">
        <v xml:space="preserve"> QF Flights - 15:35 (CONFIRMED - 5QZE44 &amp; 6ZH56L &amp; 6AA68B ) </v>
      </c>
      <c r="CJ52" s="267"/>
      <c r="CK52" s="428"/>
      <c r="CL52" s="429"/>
    </row>
    <row r="53" spans="1:90" ht="15.6" customHeight="1" thickBot="1" x14ac:dyDescent="0.35">
      <c r="A53" s="212"/>
      <c r="B53" s="213"/>
      <c r="C53" s="215"/>
      <c r="CF53" s="19" t="s">
        <v>405</v>
      </c>
      <c r="CG53" s="430"/>
      <c r="CH53" s="430"/>
      <c r="CI53" s="430"/>
      <c r="CJ53" s="431"/>
      <c r="CK53" s="432"/>
      <c r="CL53" s="433"/>
    </row>
    <row r="54" spans="1:90" ht="23.4" x14ac:dyDescent="0.3">
      <c r="A54" s="212"/>
      <c r="B54" s="231"/>
      <c r="C54" s="215"/>
      <c r="CF54" s="418" t="s">
        <v>409</v>
      </c>
      <c r="CG54" s="419"/>
      <c r="CH54" s="419"/>
      <c r="CI54" s="419"/>
      <c r="CJ54" s="419"/>
      <c r="CK54" s="419"/>
      <c r="CL54" s="420"/>
    </row>
    <row r="55" spans="1:90" x14ac:dyDescent="0.3">
      <c r="A55" s="212"/>
      <c r="B55" s="231"/>
      <c r="C55" s="215"/>
      <c r="CF55" s="19"/>
      <c r="CG55" s="4"/>
      <c r="CH55" s="4"/>
      <c r="CI55" s="4"/>
      <c r="CJ55" s="4"/>
      <c r="CK55" s="4"/>
      <c r="CL55" s="21"/>
    </row>
    <row r="56" spans="1:90" x14ac:dyDescent="0.3">
      <c r="A56" s="212"/>
      <c r="B56" s="213"/>
      <c r="C56" s="215"/>
      <c r="CF56" s="19"/>
      <c r="CG56" s="421" t="s">
        <v>414</v>
      </c>
      <c r="CH56" s="421"/>
      <c r="CI56" s="421" t="s">
        <v>410</v>
      </c>
      <c r="CJ56" s="421"/>
      <c r="CK56" s="421" t="s">
        <v>413</v>
      </c>
      <c r="CL56" s="422"/>
    </row>
    <row r="57" spans="1:90" x14ac:dyDescent="0.3">
      <c r="A57" s="212"/>
      <c r="B57" s="213"/>
      <c r="C57" s="215"/>
      <c r="CF57" s="19" t="s">
        <v>411</v>
      </c>
      <c r="CG57" s="423"/>
      <c r="CH57" s="424"/>
      <c r="CI57" s="423" t="s">
        <v>417</v>
      </c>
      <c r="CJ57" s="424"/>
      <c r="CK57" s="423"/>
      <c r="CL57" s="425"/>
    </row>
    <row r="58" spans="1:90" x14ac:dyDescent="0.3">
      <c r="A58" s="212"/>
      <c r="B58" s="213"/>
      <c r="C58" s="215"/>
      <c r="CF58" s="19" t="s">
        <v>412</v>
      </c>
      <c r="CG58" s="413"/>
      <c r="CH58" s="413"/>
      <c r="CI58" s="413"/>
      <c r="CJ58" s="413"/>
      <c r="CK58" s="413"/>
      <c r="CL58" s="414"/>
    </row>
    <row r="59" spans="1:90" ht="16.2" thickBot="1" x14ac:dyDescent="0.35">
      <c r="A59" s="212"/>
      <c r="B59" s="213"/>
      <c r="C59" s="215"/>
      <c r="CF59" s="133"/>
      <c r="CG59" s="22"/>
      <c r="CH59" s="22"/>
      <c r="CI59" s="22"/>
      <c r="CJ59" s="22"/>
      <c r="CK59" s="22"/>
      <c r="CL59" s="23"/>
    </row>
    <row r="60" spans="1:90" x14ac:dyDescent="0.3">
      <c r="A60" s="212"/>
      <c r="B60" s="213"/>
      <c r="C60" s="215"/>
    </row>
    <row r="61" spans="1:90" x14ac:dyDescent="0.3">
      <c r="A61" s="212"/>
      <c r="B61" s="213"/>
      <c r="C61" s="215"/>
    </row>
    <row r="62" spans="1:90" x14ac:dyDescent="0.3">
      <c r="A62" s="212"/>
      <c r="B62" s="213"/>
      <c r="C62" s="215"/>
    </row>
    <row r="63" spans="1:90" x14ac:dyDescent="0.3">
      <c r="A63" s="212"/>
      <c r="B63" s="213"/>
      <c r="C63" s="215"/>
    </row>
    <row r="64" spans="1:90" x14ac:dyDescent="0.3">
      <c r="A64" s="212"/>
      <c r="B64" s="213"/>
      <c r="C64" s="215"/>
    </row>
    <row r="65" spans="1:3" x14ac:dyDescent="0.3">
      <c r="A65" s="212"/>
      <c r="B65" s="213"/>
      <c r="C65" s="215"/>
    </row>
    <row r="66" spans="1:3" x14ac:dyDescent="0.3">
      <c r="A66" s="212"/>
      <c r="B66" s="213"/>
      <c r="C66" s="215"/>
    </row>
    <row r="67" spans="1:3" x14ac:dyDescent="0.3">
      <c r="A67" s="212"/>
      <c r="B67" s="213"/>
      <c r="C67" s="215"/>
    </row>
    <row r="68" spans="1:3" x14ac:dyDescent="0.3">
      <c r="A68" s="212"/>
      <c r="B68" s="213"/>
      <c r="C68" s="215"/>
    </row>
    <row r="69" spans="1:3" x14ac:dyDescent="0.3">
      <c r="A69" s="212"/>
      <c r="B69" s="213"/>
      <c r="C69" s="215"/>
    </row>
    <row r="70" spans="1:3" x14ac:dyDescent="0.3">
      <c r="A70" s="212"/>
      <c r="B70" s="213"/>
      <c r="C70" s="215"/>
    </row>
    <row r="71" spans="1:3" x14ac:dyDescent="0.3">
      <c r="A71" s="212"/>
      <c r="B71" s="213"/>
      <c r="C71" s="215"/>
    </row>
    <row r="72" spans="1:3" x14ac:dyDescent="0.3">
      <c r="A72" s="212"/>
      <c r="B72" s="213"/>
      <c r="C72" s="215"/>
    </row>
    <row r="73" spans="1:3" x14ac:dyDescent="0.3">
      <c r="C73" s="218"/>
    </row>
    <row r="74" spans="1:3" x14ac:dyDescent="0.3">
      <c r="C74" s="218"/>
    </row>
    <row r="75" spans="1:3" x14ac:dyDescent="0.3">
      <c r="C75" s="218"/>
    </row>
    <row r="76" spans="1:3" x14ac:dyDescent="0.3">
      <c r="C76" s="218"/>
    </row>
    <row r="77" spans="1:3" x14ac:dyDescent="0.3">
      <c r="C77" s="218"/>
    </row>
    <row r="78" spans="1:3" x14ac:dyDescent="0.3">
      <c r="C78" s="218"/>
    </row>
    <row r="79" spans="1:3" x14ac:dyDescent="0.3">
      <c r="C79" s="218"/>
    </row>
    <row r="80" spans="1:3" x14ac:dyDescent="0.3">
      <c r="C80" s="218"/>
    </row>
    <row r="81" spans="3:3" x14ac:dyDescent="0.3">
      <c r="C81" s="218"/>
    </row>
    <row r="82" spans="3:3" x14ac:dyDescent="0.3">
      <c r="C82" s="218"/>
    </row>
    <row r="83" spans="3:3" x14ac:dyDescent="0.3">
      <c r="C83" s="218"/>
    </row>
    <row r="84" spans="3:3" x14ac:dyDescent="0.3">
      <c r="C84" s="218"/>
    </row>
    <row r="85" spans="3:3" x14ac:dyDescent="0.3">
      <c r="C85" s="218"/>
    </row>
    <row r="86" spans="3:3" x14ac:dyDescent="0.3">
      <c r="C86" s="218"/>
    </row>
    <row r="87" spans="3:3" x14ac:dyDescent="0.3">
      <c r="C87" s="218"/>
    </row>
    <row r="88" spans="3:3" x14ac:dyDescent="0.3">
      <c r="C88" s="218"/>
    </row>
    <row r="89" spans="3:3" x14ac:dyDescent="0.3">
      <c r="C89" s="218"/>
    </row>
    <row r="90" spans="3:3" x14ac:dyDescent="0.3">
      <c r="C90" s="218"/>
    </row>
    <row r="91" spans="3:3" x14ac:dyDescent="0.3">
      <c r="C91" s="218"/>
    </row>
    <row r="92" spans="3:3" x14ac:dyDescent="0.3">
      <c r="C92" s="218"/>
    </row>
    <row r="93" spans="3:3" x14ac:dyDescent="0.3">
      <c r="C93" s="218"/>
    </row>
    <row r="94" spans="3:3" x14ac:dyDescent="0.3">
      <c r="C94" s="218"/>
    </row>
    <row r="95" spans="3:3" x14ac:dyDescent="0.3">
      <c r="C95" s="218"/>
    </row>
    <row r="96" spans="3:3" x14ac:dyDescent="0.3">
      <c r="C96" s="218"/>
    </row>
    <row r="97" spans="3:3" x14ac:dyDescent="0.3">
      <c r="C97" s="218"/>
    </row>
    <row r="98" spans="3:3" x14ac:dyDescent="0.3">
      <c r="C98" s="218"/>
    </row>
    <row r="99" spans="3:3" x14ac:dyDescent="0.3">
      <c r="C99" s="218"/>
    </row>
    <row r="100" spans="3:3" x14ac:dyDescent="0.3">
      <c r="C100" s="218"/>
    </row>
    <row r="101" spans="3:3" x14ac:dyDescent="0.3">
      <c r="C101" s="218"/>
    </row>
    <row r="102" spans="3:3" x14ac:dyDescent="0.3">
      <c r="C102" s="218"/>
    </row>
    <row r="103" spans="3:3" x14ac:dyDescent="0.3">
      <c r="C103" s="218"/>
    </row>
    <row r="104" spans="3:3" x14ac:dyDescent="0.3">
      <c r="C104" s="218"/>
    </row>
    <row r="105" spans="3:3" x14ac:dyDescent="0.3">
      <c r="C105" s="218"/>
    </row>
    <row r="106" spans="3:3" x14ac:dyDescent="0.3">
      <c r="C106" s="218"/>
    </row>
    <row r="107" spans="3:3" x14ac:dyDescent="0.3">
      <c r="C107" s="218"/>
    </row>
    <row r="108" spans="3:3" x14ac:dyDescent="0.3">
      <c r="C108" s="218"/>
    </row>
    <row r="109" spans="3:3" x14ac:dyDescent="0.3">
      <c r="C109" s="218"/>
    </row>
    <row r="110" spans="3:3" x14ac:dyDescent="0.3">
      <c r="C110" s="218"/>
    </row>
    <row r="111" spans="3:3" x14ac:dyDescent="0.3">
      <c r="C111" s="218"/>
    </row>
    <row r="112" spans="3:3" x14ac:dyDescent="0.3">
      <c r="C112" s="218"/>
    </row>
    <row r="113" spans="3:3" x14ac:dyDescent="0.3">
      <c r="C113" s="218"/>
    </row>
    <row r="114" spans="3:3" x14ac:dyDescent="0.3">
      <c r="C114" s="218"/>
    </row>
    <row r="115" spans="3:3" x14ac:dyDescent="0.3">
      <c r="C115" s="218"/>
    </row>
    <row r="116" spans="3:3" x14ac:dyDescent="0.3">
      <c r="C116" s="218"/>
    </row>
    <row r="117" spans="3:3" x14ac:dyDescent="0.3">
      <c r="C117" s="218"/>
    </row>
    <row r="118" spans="3:3" x14ac:dyDescent="0.3">
      <c r="C118" s="218"/>
    </row>
    <row r="119" spans="3:3" x14ac:dyDescent="0.3">
      <c r="C119" s="218"/>
    </row>
    <row r="120" spans="3:3" x14ac:dyDescent="0.3">
      <c r="C120" s="218"/>
    </row>
    <row r="121" spans="3:3" x14ac:dyDescent="0.3">
      <c r="C121" s="218"/>
    </row>
    <row r="122" spans="3:3" x14ac:dyDescent="0.3">
      <c r="C122" s="218"/>
    </row>
    <row r="123" spans="3:3" x14ac:dyDescent="0.3">
      <c r="C123" s="218"/>
    </row>
    <row r="124" spans="3:3" x14ac:dyDescent="0.3">
      <c r="C124" s="218"/>
    </row>
    <row r="125" spans="3:3" x14ac:dyDescent="0.3">
      <c r="C125" s="218"/>
    </row>
    <row r="126" spans="3:3" x14ac:dyDescent="0.3">
      <c r="C126" s="218"/>
    </row>
    <row r="127" spans="3:3" x14ac:dyDescent="0.3">
      <c r="C127" s="218"/>
    </row>
    <row r="128" spans="3:3" x14ac:dyDescent="0.3">
      <c r="C128" s="218"/>
    </row>
    <row r="129" spans="3:3" x14ac:dyDescent="0.3">
      <c r="C129" s="218"/>
    </row>
    <row r="130" spans="3:3" x14ac:dyDescent="0.3">
      <c r="C130" s="218"/>
    </row>
    <row r="131" spans="3:3" x14ac:dyDescent="0.3">
      <c r="C131" s="218"/>
    </row>
    <row r="132" spans="3:3" x14ac:dyDescent="0.3">
      <c r="C132" s="218"/>
    </row>
    <row r="133" spans="3:3" x14ac:dyDescent="0.3">
      <c r="C133" s="218"/>
    </row>
    <row r="134" spans="3:3" x14ac:dyDescent="0.3">
      <c r="C134" s="218"/>
    </row>
    <row r="135" spans="3:3" x14ac:dyDescent="0.3">
      <c r="C135" s="218"/>
    </row>
    <row r="136" spans="3:3" x14ac:dyDescent="0.3">
      <c r="C136" s="218"/>
    </row>
    <row r="137" spans="3:3" x14ac:dyDescent="0.3">
      <c r="C137" s="218"/>
    </row>
    <row r="138" spans="3:3" x14ac:dyDescent="0.3">
      <c r="C138" s="218"/>
    </row>
    <row r="139" spans="3:3" x14ac:dyDescent="0.3">
      <c r="C139" s="218"/>
    </row>
    <row r="140" spans="3:3" x14ac:dyDescent="0.3">
      <c r="C140" s="218"/>
    </row>
    <row r="141" spans="3:3" x14ac:dyDescent="0.3">
      <c r="C141" s="218"/>
    </row>
    <row r="142" spans="3:3" x14ac:dyDescent="0.3">
      <c r="C142" s="218"/>
    </row>
    <row r="143" spans="3:3" x14ac:dyDescent="0.3">
      <c r="C143" s="218"/>
    </row>
    <row r="144" spans="3:3" x14ac:dyDescent="0.3">
      <c r="C144" s="218"/>
    </row>
    <row r="145" spans="3:3" x14ac:dyDescent="0.3">
      <c r="C145" s="218"/>
    </row>
    <row r="146" spans="3:3" x14ac:dyDescent="0.3">
      <c r="C146" s="218"/>
    </row>
    <row r="147" spans="3:3" x14ac:dyDescent="0.3">
      <c r="C147" s="218"/>
    </row>
    <row r="148" spans="3:3" x14ac:dyDescent="0.3">
      <c r="C148" s="218"/>
    </row>
    <row r="149" spans="3:3" x14ac:dyDescent="0.3">
      <c r="C149" s="218"/>
    </row>
    <row r="150" spans="3:3" x14ac:dyDescent="0.3">
      <c r="C150" s="218"/>
    </row>
    <row r="151" spans="3:3" x14ac:dyDescent="0.3">
      <c r="C151" s="218"/>
    </row>
    <row r="152" spans="3:3" x14ac:dyDescent="0.3">
      <c r="C152" s="218"/>
    </row>
    <row r="153" spans="3:3" x14ac:dyDescent="0.3">
      <c r="C153" s="218"/>
    </row>
    <row r="154" spans="3:3" x14ac:dyDescent="0.3">
      <c r="C154" s="218"/>
    </row>
    <row r="155" spans="3:3" x14ac:dyDescent="0.3">
      <c r="C155" s="218"/>
    </row>
    <row r="156" spans="3:3" x14ac:dyDescent="0.3">
      <c r="C156" s="218"/>
    </row>
    <row r="157" spans="3:3" x14ac:dyDescent="0.3">
      <c r="C157" s="218"/>
    </row>
    <row r="158" spans="3:3" x14ac:dyDescent="0.3">
      <c r="C158" s="218"/>
    </row>
    <row r="159" spans="3:3" x14ac:dyDescent="0.3">
      <c r="C159" s="218"/>
    </row>
    <row r="160" spans="3:3" x14ac:dyDescent="0.3">
      <c r="C160" s="218"/>
    </row>
    <row r="161" spans="3:3" x14ac:dyDescent="0.3">
      <c r="C161" s="218"/>
    </row>
    <row r="162" spans="3:3" x14ac:dyDescent="0.3">
      <c r="C162" s="218"/>
    </row>
    <row r="163" spans="3:3" x14ac:dyDescent="0.3">
      <c r="C163" s="218"/>
    </row>
    <row r="164" spans="3:3" x14ac:dyDescent="0.3">
      <c r="C164" s="218"/>
    </row>
    <row r="165" spans="3:3" x14ac:dyDescent="0.3">
      <c r="C165" s="218"/>
    </row>
    <row r="166" spans="3:3" x14ac:dyDescent="0.3">
      <c r="C166" s="218"/>
    </row>
    <row r="167" spans="3:3" x14ac:dyDescent="0.3">
      <c r="C167" s="218"/>
    </row>
    <row r="168" spans="3:3" x14ac:dyDescent="0.3">
      <c r="C168" s="218"/>
    </row>
    <row r="169" spans="3:3" x14ac:dyDescent="0.3">
      <c r="C169" s="218"/>
    </row>
    <row r="170" spans="3:3" x14ac:dyDescent="0.3">
      <c r="C170" s="218"/>
    </row>
    <row r="171" spans="3:3" x14ac:dyDescent="0.3">
      <c r="C171" s="218"/>
    </row>
    <row r="172" spans="3:3" x14ac:dyDescent="0.3">
      <c r="C172" s="218"/>
    </row>
    <row r="173" spans="3:3" x14ac:dyDescent="0.3">
      <c r="C173" s="218"/>
    </row>
    <row r="174" spans="3:3" x14ac:dyDescent="0.3">
      <c r="C174" s="218"/>
    </row>
    <row r="175" spans="3:3" x14ac:dyDescent="0.3">
      <c r="C175" s="218"/>
    </row>
    <row r="176" spans="3:3" x14ac:dyDescent="0.3">
      <c r="C176" s="218"/>
    </row>
    <row r="177" spans="3:3" x14ac:dyDescent="0.3">
      <c r="C177" s="218"/>
    </row>
    <row r="178" spans="3:3" x14ac:dyDescent="0.3">
      <c r="C178" s="218"/>
    </row>
    <row r="179" spans="3:3" x14ac:dyDescent="0.3">
      <c r="C179" s="218"/>
    </row>
    <row r="180" spans="3:3" x14ac:dyDescent="0.3">
      <c r="C180" s="218"/>
    </row>
    <row r="181" spans="3:3" x14ac:dyDescent="0.3">
      <c r="C181" s="218"/>
    </row>
    <row r="182" spans="3:3" x14ac:dyDescent="0.3">
      <c r="C182" s="218"/>
    </row>
    <row r="183" spans="3:3" x14ac:dyDescent="0.3">
      <c r="C183" s="218"/>
    </row>
    <row r="184" spans="3:3" x14ac:dyDescent="0.3">
      <c r="C184" s="218"/>
    </row>
    <row r="185" spans="3:3" x14ac:dyDescent="0.3">
      <c r="C185" s="218"/>
    </row>
    <row r="186" spans="3:3" x14ac:dyDescent="0.3">
      <c r="C186" s="218"/>
    </row>
    <row r="187" spans="3:3" x14ac:dyDescent="0.3">
      <c r="C187" s="218"/>
    </row>
    <row r="188" spans="3:3" x14ac:dyDescent="0.3">
      <c r="C188" s="218"/>
    </row>
    <row r="189" spans="3:3" x14ac:dyDescent="0.3">
      <c r="C189" s="218"/>
    </row>
    <row r="190" spans="3:3" x14ac:dyDescent="0.3">
      <c r="C190" s="218"/>
    </row>
    <row r="191" spans="3:3" x14ac:dyDescent="0.3">
      <c r="C191" s="218"/>
    </row>
    <row r="192" spans="3:3" x14ac:dyDescent="0.3">
      <c r="C192" s="218"/>
    </row>
    <row r="193" spans="3:3" x14ac:dyDescent="0.3">
      <c r="C193" s="218"/>
    </row>
    <row r="194" spans="3:3" x14ac:dyDescent="0.3">
      <c r="C194" s="218"/>
    </row>
    <row r="195" spans="3:3" x14ac:dyDescent="0.3">
      <c r="C195" s="218"/>
    </row>
    <row r="196" spans="3:3" x14ac:dyDescent="0.3">
      <c r="C196" s="218"/>
    </row>
    <row r="197" spans="3:3" x14ac:dyDescent="0.3">
      <c r="C197" s="218"/>
    </row>
    <row r="198" spans="3:3" x14ac:dyDescent="0.3">
      <c r="C198" s="218"/>
    </row>
    <row r="199" spans="3:3" x14ac:dyDescent="0.3">
      <c r="C199" s="218"/>
    </row>
    <row r="200" spans="3:3" x14ac:dyDescent="0.3">
      <c r="C200" s="218"/>
    </row>
    <row r="201" spans="3:3" x14ac:dyDescent="0.3">
      <c r="C201" s="218"/>
    </row>
    <row r="202" spans="3:3" x14ac:dyDescent="0.3">
      <c r="C202" s="218"/>
    </row>
    <row r="203" spans="3:3" x14ac:dyDescent="0.3">
      <c r="C203" s="218"/>
    </row>
    <row r="204" spans="3:3" x14ac:dyDescent="0.3">
      <c r="C204" s="218"/>
    </row>
    <row r="205" spans="3:3" x14ac:dyDescent="0.3">
      <c r="C205" s="218"/>
    </row>
    <row r="206" spans="3:3" x14ac:dyDescent="0.3">
      <c r="C206" s="218"/>
    </row>
    <row r="207" spans="3:3" x14ac:dyDescent="0.3">
      <c r="C207" s="218"/>
    </row>
    <row r="208" spans="3:3" x14ac:dyDescent="0.3">
      <c r="C208" s="218"/>
    </row>
    <row r="209" spans="3:3" x14ac:dyDescent="0.3">
      <c r="C209" s="218"/>
    </row>
    <row r="210" spans="3:3" x14ac:dyDescent="0.3">
      <c r="C210" s="218"/>
    </row>
    <row r="211" spans="3:3" x14ac:dyDescent="0.3">
      <c r="C211" s="218"/>
    </row>
    <row r="212" spans="3:3" x14ac:dyDescent="0.3">
      <c r="C212" s="218"/>
    </row>
    <row r="213" spans="3:3" x14ac:dyDescent="0.3">
      <c r="C213" s="218"/>
    </row>
    <row r="214" spans="3:3" x14ac:dyDescent="0.3">
      <c r="C214" s="218"/>
    </row>
    <row r="215" spans="3:3" x14ac:dyDescent="0.3">
      <c r="C215" s="218"/>
    </row>
    <row r="216" spans="3:3" x14ac:dyDescent="0.3">
      <c r="C216" s="218"/>
    </row>
    <row r="217" spans="3:3" x14ac:dyDescent="0.3">
      <c r="C217" s="218"/>
    </row>
    <row r="218" spans="3:3" x14ac:dyDescent="0.3">
      <c r="C218" s="218"/>
    </row>
    <row r="219" spans="3:3" x14ac:dyDescent="0.3">
      <c r="C219" s="218"/>
    </row>
    <row r="220" spans="3:3" x14ac:dyDescent="0.3">
      <c r="C220" s="218"/>
    </row>
    <row r="221" spans="3:3" x14ac:dyDescent="0.3">
      <c r="C221" s="218"/>
    </row>
    <row r="222" spans="3:3" x14ac:dyDescent="0.3">
      <c r="C222" s="218"/>
    </row>
    <row r="223" spans="3:3" x14ac:dyDescent="0.3">
      <c r="C223" s="218"/>
    </row>
    <row r="224" spans="3:3" x14ac:dyDescent="0.3">
      <c r="C224" s="218"/>
    </row>
    <row r="225" spans="3:3" x14ac:dyDescent="0.3">
      <c r="C225" s="218"/>
    </row>
    <row r="226" spans="3:3" x14ac:dyDescent="0.3">
      <c r="C226" s="218"/>
    </row>
    <row r="227" spans="3:3" x14ac:dyDescent="0.3">
      <c r="C227" s="218"/>
    </row>
    <row r="228" spans="3:3" x14ac:dyDescent="0.3">
      <c r="C228" s="218"/>
    </row>
    <row r="229" spans="3:3" x14ac:dyDescent="0.3">
      <c r="C229" s="218"/>
    </row>
    <row r="230" spans="3:3" x14ac:dyDescent="0.3">
      <c r="C230" s="218"/>
    </row>
    <row r="231" spans="3:3" x14ac:dyDescent="0.3">
      <c r="C231" s="218"/>
    </row>
    <row r="232" spans="3:3" x14ac:dyDescent="0.3">
      <c r="C232" s="218"/>
    </row>
    <row r="233" spans="3:3" x14ac:dyDescent="0.3">
      <c r="C233" s="218"/>
    </row>
    <row r="234" spans="3:3" x14ac:dyDescent="0.3">
      <c r="C234" s="218"/>
    </row>
    <row r="235" spans="3:3" x14ac:dyDescent="0.3">
      <c r="C235" s="218"/>
    </row>
    <row r="236" spans="3:3" x14ac:dyDescent="0.3">
      <c r="C236" s="218"/>
    </row>
    <row r="237" spans="3:3" x14ac:dyDescent="0.3">
      <c r="C237" s="218"/>
    </row>
    <row r="238" spans="3:3" x14ac:dyDescent="0.3">
      <c r="C238" s="218"/>
    </row>
    <row r="239" spans="3:3" x14ac:dyDescent="0.3">
      <c r="C239" s="218"/>
    </row>
    <row r="240" spans="3:3" x14ac:dyDescent="0.3">
      <c r="C240" s="218"/>
    </row>
    <row r="241" spans="3:3" x14ac:dyDescent="0.3">
      <c r="C241" s="218"/>
    </row>
    <row r="242" spans="3:3" x14ac:dyDescent="0.3">
      <c r="C242" s="218"/>
    </row>
    <row r="243" spans="3:3" x14ac:dyDescent="0.3">
      <c r="C243" s="218"/>
    </row>
    <row r="244" spans="3:3" x14ac:dyDescent="0.3">
      <c r="C244" s="218"/>
    </row>
    <row r="245" spans="3:3" x14ac:dyDescent="0.3">
      <c r="C245" s="218"/>
    </row>
    <row r="246" spans="3:3" x14ac:dyDescent="0.3">
      <c r="C246" s="218"/>
    </row>
    <row r="247" spans="3:3" x14ac:dyDescent="0.3">
      <c r="C247" s="218"/>
    </row>
    <row r="248" spans="3:3" x14ac:dyDescent="0.3">
      <c r="C248" s="218"/>
    </row>
    <row r="249" spans="3:3" x14ac:dyDescent="0.3">
      <c r="C249" s="218"/>
    </row>
    <row r="250" spans="3:3" x14ac:dyDescent="0.3">
      <c r="C250" s="218"/>
    </row>
    <row r="251" spans="3:3" x14ac:dyDescent="0.3">
      <c r="C251" s="218"/>
    </row>
    <row r="252" spans="3:3" x14ac:dyDescent="0.3">
      <c r="C252" s="218"/>
    </row>
    <row r="253" spans="3:3" x14ac:dyDescent="0.3">
      <c r="C253" s="218"/>
    </row>
    <row r="254" spans="3:3" x14ac:dyDescent="0.3">
      <c r="C254" s="218"/>
    </row>
    <row r="255" spans="3:3" x14ac:dyDescent="0.3">
      <c r="C255" s="218"/>
    </row>
    <row r="256" spans="3:3" x14ac:dyDescent="0.3">
      <c r="C256" s="218"/>
    </row>
    <row r="257" spans="3:3" x14ac:dyDescent="0.3">
      <c r="C257" s="218"/>
    </row>
    <row r="258" spans="3:3" x14ac:dyDescent="0.3">
      <c r="C258" s="218"/>
    </row>
    <row r="259" spans="3:3" x14ac:dyDescent="0.3">
      <c r="C259" s="218"/>
    </row>
  </sheetData>
  <mergeCells count="304">
    <mergeCell ref="D31:J31"/>
    <mergeCell ref="L31:R31"/>
    <mergeCell ref="M37:Q38"/>
    <mergeCell ref="M39:Q40"/>
    <mergeCell ref="M41:Q42"/>
    <mergeCell ref="L43:R43"/>
    <mergeCell ref="L44:R44"/>
    <mergeCell ref="D39:D40"/>
    <mergeCell ref="L39:L40"/>
    <mergeCell ref="D37:D38"/>
    <mergeCell ref="D41:D42"/>
    <mergeCell ref="L41:L42"/>
    <mergeCell ref="D25:D26"/>
    <mergeCell ref="D27:D28"/>
    <mergeCell ref="E6:J6"/>
    <mergeCell ref="E7:J7"/>
    <mergeCell ref="E8:J8"/>
    <mergeCell ref="D15:J15"/>
    <mergeCell ref="L23:L24"/>
    <mergeCell ref="L25:L26"/>
    <mergeCell ref="D17:D18"/>
    <mergeCell ref="D21:D22"/>
    <mergeCell ref="D23:D24"/>
    <mergeCell ref="D19:D20"/>
    <mergeCell ref="L17:L18"/>
    <mergeCell ref="L27:L28"/>
    <mergeCell ref="U6:Z6"/>
    <mergeCell ref="U7:Z7"/>
    <mergeCell ref="U8:Z8"/>
    <mergeCell ref="T15:Z15"/>
    <mergeCell ref="T17:T18"/>
    <mergeCell ref="M6:R6"/>
    <mergeCell ref="M7:R7"/>
    <mergeCell ref="M8:R8"/>
    <mergeCell ref="L19:L20"/>
    <mergeCell ref="L15:R15"/>
    <mergeCell ref="AB17:AB18"/>
    <mergeCell ref="T41:T42"/>
    <mergeCell ref="U41:Y42"/>
    <mergeCell ref="T43:Z43"/>
    <mergeCell ref="T44:Z44"/>
    <mergeCell ref="L45:R45"/>
    <mergeCell ref="T45:Z45"/>
    <mergeCell ref="T31:Z31"/>
    <mergeCell ref="T36:Z36"/>
    <mergeCell ref="T37:T38"/>
    <mergeCell ref="U37:Y38"/>
    <mergeCell ref="T39:T40"/>
    <mergeCell ref="U39:Y40"/>
    <mergeCell ref="L37:L38"/>
    <mergeCell ref="T19:T20"/>
    <mergeCell ref="T21:T22"/>
    <mergeCell ref="T23:T24"/>
    <mergeCell ref="T25:T26"/>
    <mergeCell ref="T27:T28"/>
    <mergeCell ref="L21:L22"/>
    <mergeCell ref="L36:R36"/>
    <mergeCell ref="AK6:AP6"/>
    <mergeCell ref="AK7:AP7"/>
    <mergeCell ref="AK8:AP8"/>
    <mergeCell ref="AJ15:AP15"/>
    <mergeCell ref="AJ17:AJ18"/>
    <mergeCell ref="AB41:AB42"/>
    <mergeCell ref="AC41:AG42"/>
    <mergeCell ref="AB43:AH43"/>
    <mergeCell ref="AB45:AH45"/>
    <mergeCell ref="AB31:AH31"/>
    <mergeCell ref="AB36:AH36"/>
    <mergeCell ref="AB37:AB38"/>
    <mergeCell ref="AC37:AG38"/>
    <mergeCell ref="AB39:AB40"/>
    <mergeCell ref="AC39:AG40"/>
    <mergeCell ref="AB19:AB20"/>
    <mergeCell ref="AB21:AB22"/>
    <mergeCell ref="AB23:AB24"/>
    <mergeCell ref="AB25:AB26"/>
    <mergeCell ref="AB27:AB28"/>
    <mergeCell ref="AC6:AH6"/>
    <mergeCell ref="AC7:AH7"/>
    <mergeCell ref="AC8:AH8"/>
    <mergeCell ref="AB15:AH15"/>
    <mergeCell ref="AJ31:AP31"/>
    <mergeCell ref="AJ36:AP36"/>
    <mergeCell ref="AJ37:AJ38"/>
    <mergeCell ref="AK37:AO38"/>
    <mergeCell ref="AJ39:AJ40"/>
    <mergeCell ref="AK39:AO40"/>
    <mergeCell ref="AJ19:AJ20"/>
    <mergeCell ref="AJ21:AJ22"/>
    <mergeCell ref="AJ23:AJ24"/>
    <mergeCell ref="AJ25:AJ26"/>
    <mergeCell ref="AJ27:AJ28"/>
    <mergeCell ref="AR19:AR20"/>
    <mergeCell ref="AR21:AR22"/>
    <mergeCell ref="AR23:AR24"/>
    <mergeCell ref="AR25:AR26"/>
    <mergeCell ref="AR27:AR28"/>
    <mergeCell ref="AS6:AX6"/>
    <mergeCell ref="AS7:AX7"/>
    <mergeCell ref="AS8:AX8"/>
    <mergeCell ref="AR15:AX15"/>
    <mergeCell ref="AR17:AR18"/>
    <mergeCell ref="AR41:AR42"/>
    <mergeCell ref="AS41:AW42"/>
    <mergeCell ref="AR43:AX43"/>
    <mergeCell ref="AR44:AX44"/>
    <mergeCell ref="AR45:AX45"/>
    <mergeCell ref="AR31:AX31"/>
    <mergeCell ref="AR36:AX36"/>
    <mergeCell ref="AR37:AR38"/>
    <mergeCell ref="AS37:AW38"/>
    <mergeCell ref="AR39:AR40"/>
    <mergeCell ref="AS39:AW40"/>
    <mergeCell ref="BA6:BF6"/>
    <mergeCell ref="BA7:BF7"/>
    <mergeCell ref="BA8:BF8"/>
    <mergeCell ref="AZ15:BF15"/>
    <mergeCell ref="AZ17:AZ18"/>
    <mergeCell ref="AZ19:AZ20"/>
    <mergeCell ref="AZ21:AZ22"/>
    <mergeCell ref="AZ23:AZ24"/>
    <mergeCell ref="AZ25:AZ26"/>
    <mergeCell ref="AZ27:AZ28"/>
    <mergeCell ref="AZ31:BF31"/>
    <mergeCell ref="AZ36:BF36"/>
    <mergeCell ref="AZ37:AZ38"/>
    <mergeCell ref="BA37:BE38"/>
    <mergeCell ref="AZ39:AZ40"/>
    <mergeCell ref="BA39:BE40"/>
    <mergeCell ref="AZ41:AZ42"/>
    <mergeCell ref="BA41:BE42"/>
    <mergeCell ref="AZ43:BF43"/>
    <mergeCell ref="AZ44:BF44"/>
    <mergeCell ref="AZ45:BF45"/>
    <mergeCell ref="BI6:BN6"/>
    <mergeCell ref="BI7:BN7"/>
    <mergeCell ref="BI8:BN8"/>
    <mergeCell ref="BH15:BN15"/>
    <mergeCell ref="BH17:BH18"/>
    <mergeCell ref="BH19:BH20"/>
    <mergeCell ref="BH21:BH22"/>
    <mergeCell ref="BH23:BH24"/>
    <mergeCell ref="BH25:BH26"/>
    <mergeCell ref="BH27:BH28"/>
    <mergeCell ref="BH31:BN31"/>
    <mergeCell ref="BH36:BN36"/>
    <mergeCell ref="BH37:BH38"/>
    <mergeCell ref="BI37:BM38"/>
    <mergeCell ref="BH39:BH40"/>
    <mergeCell ref="BI39:BM40"/>
    <mergeCell ref="BH41:BH42"/>
    <mergeCell ref="BI41:BM42"/>
    <mergeCell ref="BH43:BN43"/>
    <mergeCell ref="BH44:BN44"/>
    <mergeCell ref="BH45:BN45"/>
    <mergeCell ref="BQ6:BV6"/>
    <mergeCell ref="BQ7:BV7"/>
    <mergeCell ref="BQ8:BV8"/>
    <mergeCell ref="BP15:BV15"/>
    <mergeCell ref="BP17:BP18"/>
    <mergeCell ref="BP19:BP20"/>
    <mergeCell ref="BP21:BP22"/>
    <mergeCell ref="BP23:BP24"/>
    <mergeCell ref="BP25:BP26"/>
    <mergeCell ref="BP27:BP28"/>
    <mergeCell ref="BP31:BV31"/>
    <mergeCell ref="BP36:BV36"/>
    <mergeCell ref="BP37:BP38"/>
    <mergeCell ref="BQ37:BU38"/>
    <mergeCell ref="BP39:BP40"/>
    <mergeCell ref="BQ39:BU40"/>
    <mergeCell ref="BP41:BP42"/>
    <mergeCell ref="BQ41:BU42"/>
    <mergeCell ref="BP43:BV43"/>
    <mergeCell ref="BP44:BV44"/>
    <mergeCell ref="BP45:BV45"/>
    <mergeCell ref="BY6:CD6"/>
    <mergeCell ref="BY7:CD7"/>
    <mergeCell ref="BY8:CD8"/>
    <mergeCell ref="BX15:CD15"/>
    <mergeCell ref="BX17:BX18"/>
    <mergeCell ref="BX19:BX20"/>
    <mergeCell ref="BX21:BX22"/>
    <mergeCell ref="BX23:BX24"/>
    <mergeCell ref="BX25:BX26"/>
    <mergeCell ref="BX27:BX28"/>
    <mergeCell ref="BX31:CD31"/>
    <mergeCell ref="BX36:CD36"/>
    <mergeCell ref="BX37:BX38"/>
    <mergeCell ref="BY37:CC38"/>
    <mergeCell ref="BX39:BX40"/>
    <mergeCell ref="BY39:CC40"/>
    <mergeCell ref="BX41:BX42"/>
    <mergeCell ref="BY41:CC42"/>
    <mergeCell ref="BX43:CD43"/>
    <mergeCell ref="BX44:CD44"/>
    <mergeCell ref="BX45:CD45"/>
    <mergeCell ref="CN43:CT43"/>
    <mergeCell ref="CN44:CT44"/>
    <mergeCell ref="CN45:CT45"/>
    <mergeCell ref="CF27:CF28"/>
    <mergeCell ref="CF31:CL31"/>
    <mergeCell ref="CF36:CL36"/>
    <mergeCell ref="CF37:CF38"/>
    <mergeCell ref="CG37:CK38"/>
    <mergeCell ref="CF39:CF40"/>
    <mergeCell ref="CG39:CK40"/>
    <mergeCell ref="CF41:CF42"/>
    <mergeCell ref="CG41:CK42"/>
    <mergeCell ref="CN27:CN28"/>
    <mergeCell ref="CN31:CT31"/>
    <mergeCell ref="CN36:CT36"/>
    <mergeCell ref="CN37:CN38"/>
    <mergeCell ref="CO37:CS38"/>
    <mergeCell ref="CN39:CN40"/>
    <mergeCell ref="CO39:CS40"/>
    <mergeCell ref="CN41:CN42"/>
    <mergeCell ref="CO41:CS42"/>
    <mergeCell ref="CF43:CL43"/>
    <mergeCell ref="CF44:CL44"/>
    <mergeCell ref="CF45:CL45"/>
    <mergeCell ref="CO6:CT6"/>
    <mergeCell ref="CO7:CT7"/>
    <mergeCell ref="CO8:CT8"/>
    <mergeCell ref="CN15:CT15"/>
    <mergeCell ref="CN17:CN18"/>
    <mergeCell ref="CN19:CN20"/>
    <mergeCell ref="CN21:CN22"/>
    <mergeCell ref="CN23:CN24"/>
    <mergeCell ref="CN25:CN26"/>
    <mergeCell ref="B32:B33"/>
    <mergeCell ref="B35:B36"/>
    <mergeCell ref="B38:B39"/>
    <mergeCell ref="B41:B42"/>
    <mergeCell ref="B44:B45"/>
    <mergeCell ref="B47:B48"/>
    <mergeCell ref="B50:B51"/>
    <mergeCell ref="AJ41:AJ42"/>
    <mergeCell ref="AK41:AO42"/>
    <mergeCell ref="AJ43:AP43"/>
    <mergeCell ref="AB44:AH44"/>
    <mergeCell ref="AJ44:AP44"/>
    <mergeCell ref="D36:J36"/>
    <mergeCell ref="E37:I38"/>
    <mergeCell ref="E39:I40"/>
    <mergeCell ref="E41:I42"/>
    <mergeCell ref="D43:J43"/>
    <mergeCell ref="D44:J44"/>
    <mergeCell ref="CG6:CL6"/>
    <mergeCell ref="CG7:CL7"/>
    <mergeCell ref="CG8:CL8"/>
    <mergeCell ref="CF15:CL15"/>
    <mergeCell ref="CF17:CF18"/>
    <mergeCell ref="CF19:CF20"/>
    <mergeCell ref="CF21:CF22"/>
    <mergeCell ref="CF23:CF24"/>
    <mergeCell ref="CF25:CF26"/>
    <mergeCell ref="CG58:CH58"/>
    <mergeCell ref="CI58:CJ58"/>
    <mergeCell ref="CK58:CL58"/>
    <mergeCell ref="D45:J45"/>
    <mergeCell ref="CF54:CL54"/>
    <mergeCell ref="CG56:CH56"/>
    <mergeCell ref="CI56:CJ56"/>
    <mergeCell ref="CK56:CL56"/>
    <mergeCell ref="CG57:CH57"/>
    <mergeCell ref="CI57:CJ57"/>
    <mergeCell ref="CK57:CL57"/>
    <mergeCell ref="CF50:CL50"/>
    <mergeCell ref="AJ45:AP45"/>
    <mergeCell ref="CK52:CL52"/>
    <mergeCell ref="CG53:CH53"/>
    <mergeCell ref="CI53:CJ53"/>
    <mergeCell ref="CK53:CL53"/>
    <mergeCell ref="CF46:CL46"/>
    <mergeCell ref="CG47:CI47"/>
    <mergeCell ref="CJ47:CL47"/>
    <mergeCell ref="CG48:CI48"/>
    <mergeCell ref="CJ49:CL49"/>
    <mergeCell ref="CJ48:CL48"/>
    <mergeCell ref="BX29:BX30"/>
    <mergeCell ref="CF29:CF30"/>
    <mergeCell ref="CN29:CN30"/>
    <mergeCell ref="B2:B3"/>
    <mergeCell ref="B5:B6"/>
    <mergeCell ref="B8:B9"/>
    <mergeCell ref="B11:B12"/>
    <mergeCell ref="B14:B15"/>
    <mergeCell ref="B17:B18"/>
    <mergeCell ref="B20:B21"/>
    <mergeCell ref="B23:B24"/>
    <mergeCell ref="B26:B27"/>
    <mergeCell ref="B29:B30"/>
    <mergeCell ref="D29:D30"/>
    <mergeCell ref="L29:L30"/>
    <mergeCell ref="T29:T30"/>
    <mergeCell ref="AB29:AB30"/>
    <mergeCell ref="AJ29:AJ30"/>
    <mergeCell ref="AR29:AR30"/>
    <mergeCell ref="AZ29:AZ30"/>
    <mergeCell ref="BH29:BH30"/>
    <mergeCell ref="BP29:BP30"/>
    <mergeCell ref="D2:E2"/>
    <mergeCell ref="CF2:CH2"/>
  </mergeCells>
  <phoneticPr fontId="2" type="noConversion"/>
  <dataValidations count="12">
    <dataValidation type="list" allowBlank="1" showInputMessage="1" showErrorMessage="1" sqref="CQ33:CQ35 G33:G35 H17:H30 O33:O35 P17:P30 W33:W35 X17:X30 AE33:AE35 AF17:AF30 AM33:AM35 AN17:AN30 AU33:AU35 AV17:AV30 BC33:BC35 BD17:BD30 BK33:BK35 BL17:BL30 BS33:BS35 BT17:BT30 CA33:CA35 CB17:CB30 CI33:CI35 CJ17:CJ30 CR17:CR30" xr:uid="{8A62D1FF-5E39-4CA3-884F-62B6226A3730}">
      <formula1>INDIRECT("bedding_configuration")</formula1>
    </dataValidation>
    <dataValidation type="list" allowBlank="1" showInputMessage="1" showErrorMessage="1" sqref="F33:F35 G17:G30" xr:uid="{8707FF2A-E909-454C-A14A-A8A8CB351164}">
      <formula1>INDIRECT("day_1_accommodation[day_1_accommodation]")</formula1>
    </dataValidation>
    <dataValidation type="list" allowBlank="1" showInputMessage="1" showErrorMessage="1" sqref="N33:N35 O17:O30" xr:uid="{BF3BF7CD-2B07-40C0-B453-8EC42B0B2835}">
      <formula1>INDIRECT("day_2_accommodation[day_2_accommodation]")</formula1>
    </dataValidation>
    <dataValidation type="list" allowBlank="1" showInputMessage="1" showErrorMessage="1" sqref="AT33:AT35 AU17:AU30" xr:uid="{56080CFA-D9BF-42DA-A0F7-9BB60B146A4A}">
      <formula1>INDIRECT("day_6_accommodation[day_6_accommodation]")</formula1>
    </dataValidation>
    <dataValidation type="list" allowBlank="1" showInputMessage="1" showErrorMessage="1" sqref="BB33:BB35 BC17:BC30" xr:uid="{A20BBB65-0967-4139-85EA-B3FE07D68BCE}">
      <formula1>INDIRECT("day_7_accommodation[day_7_accommodation]")</formula1>
    </dataValidation>
    <dataValidation type="list" allowBlank="1" showInputMessage="1" showErrorMessage="1" sqref="BJ33:BJ35 BK17:BK30" xr:uid="{E02C0BE7-5B30-44CB-BF0E-84F6C74EC6A4}">
      <formula1>INDIRECT("day_8_accommodation[day_8_accommodation]")</formula1>
    </dataValidation>
    <dataValidation type="list" allowBlank="1" showInputMessage="1" showErrorMessage="1" sqref="CH34:CH35 BR33:BR35 CP33:CP35 BZ33:BZ35 BS17:BS30 CQ17:CQ30" xr:uid="{10AE42AC-F34C-40D7-A228-6AAD4907F57F}">
      <formula1>INDIRECT("day_9_accommodation[day_9_accommodation]")</formula1>
    </dataValidation>
    <dataValidation type="list" allowBlank="1" showInputMessage="1" showErrorMessage="1" sqref="V33:V35 W17:W30" xr:uid="{7C387867-206E-4D03-9BAD-C00EE7385262}">
      <formula1>INDIRECT("day_3_accommodation[day_3_accommodation]")</formula1>
    </dataValidation>
    <dataValidation type="list" allowBlank="1" showInputMessage="1" showErrorMessage="1" sqref="AD33:AD35 AE17:AE30" xr:uid="{46E9F0AD-AB7A-4706-820F-006D2D75AF44}">
      <formula1>INDIRECT("day_4_accommodation[day_4_accommodation]")</formula1>
    </dataValidation>
    <dataValidation type="list" allowBlank="1" showInputMessage="1" showErrorMessage="1" sqref="AL33:AL35 AM17:AM30" xr:uid="{4ADAF725-45B1-4458-84D0-B637BC9FEC35}">
      <formula1>INDIRECT("day_5_accommodation[day_5_accommodation]")</formula1>
    </dataValidation>
    <dataValidation type="list" allowBlank="1" showInputMessage="1" showErrorMessage="1" sqref="CA17:CA30" xr:uid="{347CD214-665E-4355-BE61-DE10F1E413A2}">
      <formula1>INDIRECT("day_10_accommodation[day_10_accommodation]")</formula1>
    </dataValidation>
    <dataValidation type="list" allowBlank="1" showInputMessage="1" showErrorMessage="1" sqref="CH33 CI17:CI30" xr:uid="{21798363-2837-44A1-AAD9-CD713F188319}">
      <formula1>INDIRECT("day_11_accommodation[day_11_accommodation]")</formula1>
    </dataValidation>
  </dataValidations>
  <hyperlinks>
    <hyperlink ref="B2" location="Panel!C4" display="HOME" xr:uid="{D03ADA97-7886-453C-AD19-FC79F754D5A0}"/>
    <hyperlink ref="B5" location="Panel!C4" display="HOME" xr:uid="{77BB3BCA-A4FA-4391-A9A5-FA2D5EE362C2}"/>
    <hyperlink ref="B17" location="Panel!C4" display="HOME" xr:uid="{29926D5B-224B-46A7-ACF6-9C6315B0DD73}"/>
    <hyperlink ref="B20" location="Panel!C4" display="HOME" xr:uid="{C5E08A7B-CFA7-4F86-B48E-8F7C31DA780B}"/>
    <hyperlink ref="B23" location="Panel!C4" display="HOME" xr:uid="{184D0A32-C80F-464A-BACB-FF935FD6E824}"/>
    <hyperlink ref="B5:B6" location="data_formula_legend!A1" display="DATA" xr:uid="{147A41AC-5DD6-4D5D-AC4D-28460AFB5694}"/>
    <hyperlink ref="B17:B18" location="day_1!A1" display="DAY 1" xr:uid="{B7EEF56F-CD0D-4585-B16E-2EC2F18CAED0}"/>
    <hyperlink ref="B8" location="Panel!C4" display="HOME" xr:uid="{14B67118-67DB-4A88-B10E-BBA7A2A4B88E}"/>
    <hyperlink ref="B8:B9" location="Runsheet!A1" display="RUNSHEET" xr:uid="{CCE6909B-2D21-4C19-9DD0-25208056E919}"/>
    <hyperlink ref="B20:B21" location="day_2!A1" display="DAY 2" xr:uid="{1EF18710-80A6-4E17-83E7-67F8216B85DD}"/>
    <hyperlink ref="B23:B24" location="day_3!A1" display="DAY 3" xr:uid="{E41221C0-84E1-45EA-A749-03DE2BE14E15}"/>
    <hyperlink ref="B2:B3" location="HOME!A1" display="HOME" xr:uid="{3C312809-E86A-40CA-907A-E07557EE20C3}"/>
    <hyperlink ref="B26" location="Panel!C4" display="HOME" xr:uid="{7CE5507C-B588-4B65-871D-8662B996915B}"/>
    <hyperlink ref="B26:B27" location="day_5!A1" display="DAY 4" xr:uid="{BCC72504-02B8-4527-B323-FF1A7AE1F18A}"/>
    <hyperlink ref="B29" location="Panel!C4" display="HOME" xr:uid="{417C123E-B968-4694-9891-A566208A9DA2}"/>
    <hyperlink ref="B29:B30" location="day_5!A1" display="DAY 5" xr:uid="{F8BA17B0-4C14-4F10-853F-5E71E836C9D1}"/>
    <hyperlink ref="B32" location="Panel!C4" display="HOME" xr:uid="{46199B42-14C4-483A-BC19-046675283E14}"/>
    <hyperlink ref="B32:B33" location="day_6!A1" display="DAY 6" xr:uid="{EDE49AD2-38A7-44B3-8503-E8E355C09050}"/>
    <hyperlink ref="B14:B15" location="'Food Serves'!A1" display="FOOD SERVES" xr:uid="{2B239402-30F5-409B-8028-31FBA33932DF}"/>
    <hyperlink ref="B11:B12" location="'Rest Runsheet Food'!A1" display="RESTAURANT RUNSHEET" xr:uid="{93F9B20D-86EC-4C4E-808F-94F5153F2AA3}"/>
    <hyperlink ref="B14" location="Panel!C4" display="HOME" xr:uid="{245E3246-A8CD-4468-99CC-251D9AC3889B}"/>
    <hyperlink ref="B11" location="Panel!C4" display="HOME" xr:uid="{22A78AC0-523C-4248-9819-23B5333D6561}"/>
    <hyperlink ref="B35" location="Panel!C4" display="HOME" xr:uid="{75BBD9EC-5ABC-4994-80E0-B7E638EB88B2}"/>
    <hyperlink ref="B35:B36" location="day_7!A1" display="DAY 7" xr:uid="{3F47DBB7-CE75-4DEF-944D-DBA89CD86EB9}"/>
    <hyperlink ref="B38" location="Panel!C4" display="HOME" xr:uid="{1070D078-84EB-4A33-946D-FAB304BFA5EB}"/>
    <hyperlink ref="B38:B39" location="day_8!A1" display="DAY 8" xr:uid="{53ACDDAC-47CB-4A95-ACD2-9248E45F5DBF}"/>
    <hyperlink ref="B41" location="Panel!C4" display="HOME" xr:uid="{F81ED199-3C99-4C54-ADCF-70C6CD827263}"/>
    <hyperlink ref="B41:B42" location="day_9!A1" display="DAY 9" xr:uid="{35902865-EF9B-4CA9-97AC-8FC2F8722A33}"/>
    <hyperlink ref="B44" location="Panel!C4" display="HOME" xr:uid="{C3361DF9-E1F1-4459-9E3D-244041AFA70C}"/>
    <hyperlink ref="B44:B45" location="day_10!A1" display="DAY 10" xr:uid="{A375CA37-B51A-4FC9-8004-38991F781990}"/>
    <hyperlink ref="B47" location="Panel!C4" display="HOME" xr:uid="{C0FB25C3-3159-4DB4-92E4-988E34351BE9}"/>
    <hyperlink ref="B47:B48" location="day_11!A1" display="DAY 11" xr:uid="{DA1413A8-7B00-445A-8E49-9FD98BF3C335}"/>
    <hyperlink ref="B50" location="Panel!C4" display="HOME" xr:uid="{C8C91EF9-40C0-41C4-841B-A01229E9C4D6}"/>
    <hyperlink ref="B50:B51" location="day_12!A1" display="DAY 12" xr:uid="{1F2A0C0E-CC8E-4269-A92A-155802123C12}"/>
  </hyperlinks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62" r:id="rId4" name="CommandButton100">
          <controlPr defaultSize="0" autoLine="0" r:id="rId5">
            <anchor moveWithCells="1">
              <from>
                <xdr:col>0</xdr:col>
                <xdr:colOff>0</xdr:colOff>
                <xdr:row>62</xdr:row>
                <xdr:rowOff>190500</xdr:rowOff>
              </from>
              <to>
                <xdr:col>3</xdr:col>
                <xdr:colOff>533400</xdr:colOff>
                <xdr:row>65</xdr:row>
                <xdr:rowOff>167640</xdr:rowOff>
              </to>
            </anchor>
          </controlPr>
        </control>
      </mc:Choice>
      <mc:Fallback>
        <control shapeId="2062" r:id="rId4" name="CommandButton100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shownavbar">
            <anchor moveWithCells="1" sizeWithCells="1">
              <from>
                <xdr:col>3</xdr:col>
                <xdr:colOff>7620</xdr:colOff>
                <xdr:row>1</xdr:row>
                <xdr:rowOff>190500</xdr:rowOff>
              </from>
              <to>
                <xdr:col>98</xdr:col>
                <xdr:colOff>15240</xdr:colOff>
                <xdr:row>4</xdr:row>
                <xdr:rowOff>0</xdr:rowOff>
              </to>
            </anchor>
          </controlPr>
        </control>
      </mc:Choice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CA47A-9F9C-4369-85D9-16F995955851}">
  <sheetPr codeName="Sheet4"/>
  <dimension ref="A1:AA259"/>
  <sheetViews>
    <sheetView zoomScaleNormal="100" workbookViewId="0">
      <selection activeCell="B2" sqref="B2:B3"/>
    </sheetView>
  </sheetViews>
  <sheetFormatPr defaultRowHeight="15.6" x14ac:dyDescent="0.3"/>
  <cols>
    <col min="1" max="1" width="1.77734375" style="216" customWidth="1"/>
    <col min="2" max="2" width="15.77734375" style="217" customWidth="1"/>
    <col min="3" max="3" width="1.77734375" style="216" customWidth="1"/>
    <col min="4" max="4" width="24" bestFit="1" customWidth="1"/>
    <col min="5" max="5" width="27" bestFit="1" customWidth="1"/>
    <col min="6" max="6" width="42.5546875" bestFit="1" customWidth="1"/>
    <col min="7" max="7" width="53.6640625" bestFit="1" customWidth="1"/>
    <col min="8" max="8" width="24.109375" bestFit="1" customWidth="1"/>
    <col min="9" max="9" width="25.33203125" bestFit="1" customWidth="1"/>
    <col min="10" max="10" width="24.109375" bestFit="1" customWidth="1"/>
    <col min="11" max="11" width="22" customWidth="1"/>
    <col min="12" max="12" width="23.88671875" bestFit="1" customWidth="1"/>
    <col min="13" max="13" width="40.44140625" bestFit="1" customWidth="1"/>
    <col min="14" max="14" width="21.6640625" bestFit="1" customWidth="1"/>
    <col min="15" max="17" width="25.33203125" bestFit="1" customWidth="1"/>
    <col min="18" max="18" width="21.6640625" bestFit="1" customWidth="1"/>
    <col min="19" max="19" width="18" bestFit="1" customWidth="1"/>
    <col min="20" max="20" width="9.88671875" bestFit="1" customWidth="1"/>
    <col min="21" max="21" width="21.88671875" bestFit="1" customWidth="1"/>
    <col min="22" max="22" width="22.5546875" customWidth="1"/>
    <col min="23" max="23" width="18.77734375" bestFit="1" customWidth="1"/>
    <col min="25" max="25" width="20.44140625" bestFit="1" customWidth="1"/>
    <col min="26" max="26" width="21.6640625" bestFit="1" customWidth="1"/>
    <col min="27" max="27" width="18" bestFit="1" customWidth="1"/>
  </cols>
  <sheetData>
    <row r="1" spans="1:24" ht="16.2" thickBot="1" x14ac:dyDescent="0.35">
      <c r="A1" s="212"/>
      <c r="B1" s="213"/>
      <c r="C1" s="212"/>
    </row>
    <row r="2" spans="1:24" ht="15.6" customHeight="1" thickTop="1" thickBot="1" x14ac:dyDescent="0.35">
      <c r="A2" s="212"/>
      <c r="B2" s="318" t="s">
        <v>264</v>
      </c>
      <c r="C2" s="212"/>
      <c r="D2" s="481" t="s">
        <v>48</v>
      </c>
      <c r="E2" s="481"/>
      <c r="F2" s="481"/>
      <c r="G2" s="481"/>
      <c r="H2" s="481"/>
      <c r="I2" s="481"/>
      <c r="J2" s="481"/>
      <c r="K2" s="481"/>
      <c r="L2" s="481"/>
      <c r="M2" s="481"/>
      <c r="N2" s="481"/>
      <c r="O2" s="481"/>
      <c r="P2" s="481"/>
      <c r="Q2" s="481"/>
      <c r="R2" s="481"/>
      <c r="S2" s="481"/>
      <c r="T2" s="481"/>
      <c r="U2" s="481"/>
      <c r="V2" s="481"/>
      <c r="W2" s="481"/>
      <c r="X2" s="481"/>
    </row>
    <row r="3" spans="1:24" ht="15" customHeight="1" thickBot="1" x14ac:dyDescent="0.35">
      <c r="A3" s="212"/>
      <c r="B3" s="319"/>
      <c r="C3" s="212"/>
      <c r="D3" s="1" t="s">
        <v>65</v>
      </c>
      <c r="E3" s="277">
        <v>44786</v>
      </c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8"/>
    </row>
    <row r="4" spans="1:24" ht="16.8" thickTop="1" thickBot="1" x14ac:dyDescent="0.35">
      <c r="A4" s="212"/>
      <c r="B4" s="213"/>
      <c r="C4" s="212"/>
      <c r="D4" s="19"/>
      <c r="E4" s="4"/>
      <c r="F4" s="4"/>
      <c r="G4" s="480" t="s">
        <v>251</v>
      </c>
      <c r="H4" s="480"/>
      <c r="I4" s="480"/>
      <c r="J4" s="480"/>
      <c r="K4" s="480"/>
      <c r="M4" s="480" t="s">
        <v>252</v>
      </c>
      <c r="N4" s="480"/>
      <c r="O4" s="480"/>
      <c r="P4" s="480"/>
      <c r="Q4" s="4"/>
      <c r="R4" s="4"/>
      <c r="S4" s="4"/>
      <c r="T4" s="4"/>
      <c r="U4" s="4"/>
      <c r="V4" s="4"/>
      <c r="W4" s="4"/>
      <c r="X4" s="21"/>
    </row>
    <row r="5" spans="1:24" ht="15" customHeight="1" thickTop="1" x14ac:dyDescent="0.3">
      <c r="A5" s="212"/>
      <c r="B5" s="320" t="s">
        <v>247</v>
      </c>
      <c r="C5" s="212"/>
      <c r="D5" s="4" t="s">
        <v>41</v>
      </c>
      <c r="G5" t="s">
        <v>41</v>
      </c>
      <c r="H5" s="4" t="s">
        <v>47</v>
      </c>
      <c r="I5" s="4" t="s">
        <v>187</v>
      </c>
      <c r="J5" s="4" t="s">
        <v>188</v>
      </c>
      <c r="K5" s="4" t="s">
        <v>110</v>
      </c>
      <c r="M5" t="s">
        <v>70</v>
      </c>
      <c r="N5" s="4" t="s">
        <v>53</v>
      </c>
      <c r="O5" s="4" t="s">
        <v>54</v>
      </c>
      <c r="P5" t="s">
        <v>110</v>
      </c>
      <c r="R5" s="46" t="s">
        <v>54</v>
      </c>
      <c r="S5" s="4"/>
      <c r="T5" s="4" t="s">
        <v>187</v>
      </c>
      <c r="U5" s="4"/>
      <c r="V5" s="4" t="s">
        <v>193</v>
      </c>
      <c r="W5" s="4"/>
      <c r="X5" s="21"/>
    </row>
    <row r="6" spans="1:24" ht="15" customHeight="1" thickBot="1" x14ac:dyDescent="0.35">
      <c r="A6" s="212"/>
      <c r="B6" s="321"/>
      <c r="C6" s="212"/>
      <c r="D6">
        <v>0</v>
      </c>
      <c r="F6" s="4"/>
      <c r="G6" s="2" t="s">
        <v>38</v>
      </c>
      <c r="H6" s="276" t="s">
        <v>430</v>
      </c>
      <c r="I6" s="2" t="s">
        <v>327</v>
      </c>
      <c r="J6" s="2" t="s">
        <v>28</v>
      </c>
      <c r="K6" s="280"/>
      <c r="M6" s="5" t="s">
        <v>38</v>
      </c>
      <c r="N6" s="5" t="s">
        <v>157</v>
      </c>
      <c r="O6" s="5" t="s">
        <v>28</v>
      </c>
      <c r="P6" s="5"/>
      <c r="R6" t="s">
        <v>28</v>
      </c>
      <c r="S6" s="4"/>
      <c r="T6" s="4" t="s">
        <v>327</v>
      </c>
      <c r="U6" s="4"/>
      <c r="V6" s="4" t="s">
        <v>191</v>
      </c>
      <c r="W6" s="4"/>
      <c r="X6" s="21"/>
    </row>
    <row r="7" spans="1:24" ht="16.8" thickTop="1" thickBot="1" x14ac:dyDescent="0.35">
      <c r="A7" s="214"/>
      <c r="B7" s="213"/>
      <c r="C7" s="214"/>
      <c r="D7" s="230" t="s">
        <v>61</v>
      </c>
      <c r="F7" s="4"/>
      <c r="G7" s="2" t="s">
        <v>38</v>
      </c>
      <c r="H7" s="276" t="s">
        <v>431</v>
      </c>
      <c r="I7" s="2" t="s">
        <v>328</v>
      </c>
      <c r="J7" s="2" t="s">
        <v>28</v>
      </c>
      <c r="K7" s="280"/>
      <c r="M7" s="5" t="s">
        <v>38</v>
      </c>
      <c r="N7" s="5" t="s">
        <v>378</v>
      </c>
      <c r="O7" s="5" t="s">
        <v>28</v>
      </c>
      <c r="P7" s="5"/>
      <c r="R7" t="s">
        <v>94</v>
      </c>
      <c r="S7" s="4"/>
      <c r="T7" s="4" t="s">
        <v>328</v>
      </c>
      <c r="U7" s="4"/>
      <c r="V7" s="4" t="s">
        <v>192</v>
      </c>
      <c r="W7" s="4"/>
      <c r="X7" s="21"/>
    </row>
    <row r="8" spans="1:24" ht="15" customHeight="1" thickTop="1" x14ac:dyDescent="0.3">
      <c r="A8" s="212"/>
      <c r="B8" s="318" t="s">
        <v>265</v>
      </c>
      <c r="C8" s="212"/>
      <c r="D8" t="s">
        <v>62</v>
      </c>
      <c r="F8" s="4"/>
      <c r="G8" s="2" t="s">
        <v>38</v>
      </c>
      <c r="H8" s="276" t="s">
        <v>432</v>
      </c>
      <c r="I8" s="2" t="s">
        <v>329</v>
      </c>
      <c r="J8" s="2" t="s">
        <v>28</v>
      </c>
      <c r="K8" s="280"/>
      <c r="M8" s="5" t="s">
        <v>40</v>
      </c>
      <c r="N8" s="5" t="s">
        <v>472</v>
      </c>
      <c r="O8" s="5" t="s">
        <v>28</v>
      </c>
      <c r="P8" s="5"/>
      <c r="R8" t="s">
        <v>104</v>
      </c>
      <c r="S8" s="4"/>
      <c r="T8" s="4" t="s">
        <v>329</v>
      </c>
      <c r="U8" s="4"/>
      <c r="V8" s="4" t="s">
        <v>470</v>
      </c>
      <c r="W8" s="4"/>
      <c r="X8" s="21"/>
    </row>
    <row r="9" spans="1:24" ht="15" customHeight="1" thickBot="1" x14ac:dyDescent="0.35">
      <c r="A9" s="212"/>
      <c r="B9" s="319"/>
      <c r="C9" s="215"/>
      <c r="D9" s="4" t="s">
        <v>38</v>
      </c>
      <c r="F9" s="4"/>
      <c r="G9" s="2" t="s">
        <v>39</v>
      </c>
      <c r="H9" s="276" t="s">
        <v>433</v>
      </c>
      <c r="I9" s="2" t="s">
        <v>331</v>
      </c>
      <c r="J9" s="2" t="s">
        <v>28</v>
      </c>
      <c r="K9" s="280"/>
      <c r="M9" s="4"/>
      <c r="N9" s="4"/>
      <c r="O9" s="4"/>
      <c r="P9" s="4"/>
      <c r="R9" t="s">
        <v>95</v>
      </c>
      <c r="S9" s="4"/>
      <c r="T9" s="4" t="s">
        <v>330</v>
      </c>
      <c r="U9" s="4"/>
      <c r="V9" s="4"/>
      <c r="W9" s="4"/>
      <c r="X9" s="21"/>
    </row>
    <row r="10" spans="1:24" ht="16.8" thickTop="1" thickBot="1" x14ac:dyDescent="0.35">
      <c r="A10" s="212"/>
      <c r="B10" s="213"/>
      <c r="C10" s="215"/>
      <c r="D10" s="4" t="s">
        <v>39</v>
      </c>
      <c r="F10" s="4"/>
      <c r="G10" s="2" t="s">
        <v>39</v>
      </c>
      <c r="H10" s="276" t="s">
        <v>434</v>
      </c>
      <c r="I10" s="2" t="s">
        <v>332</v>
      </c>
      <c r="J10" s="2" t="s">
        <v>28</v>
      </c>
      <c r="K10" s="280"/>
      <c r="M10" s="4"/>
      <c r="N10" s="4"/>
      <c r="O10" s="4"/>
      <c r="P10" s="4"/>
      <c r="R10" t="s">
        <v>96</v>
      </c>
      <c r="S10" s="4"/>
      <c r="T10" s="4" t="s">
        <v>331</v>
      </c>
      <c r="U10" s="4"/>
      <c r="V10" s="4"/>
      <c r="W10" s="4"/>
      <c r="X10" s="21"/>
    </row>
    <row r="11" spans="1:24" ht="43.8" thickTop="1" x14ac:dyDescent="0.3">
      <c r="A11" s="212"/>
      <c r="B11" s="318" t="s">
        <v>511</v>
      </c>
      <c r="C11" s="215"/>
      <c r="D11" s="4" t="s">
        <v>40</v>
      </c>
      <c r="F11" s="4"/>
      <c r="G11" s="5" t="s">
        <v>39</v>
      </c>
      <c r="H11" s="276" t="s">
        <v>435</v>
      </c>
      <c r="I11" s="5" t="s">
        <v>333</v>
      </c>
      <c r="J11" s="5" t="s">
        <v>28</v>
      </c>
      <c r="K11" s="281" t="s">
        <v>515</v>
      </c>
      <c r="M11" s="4"/>
      <c r="N11" s="4"/>
      <c r="O11" s="4"/>
      <c r="P11" s="4"/>
      <c r="R11" s="4" t="s">
        <v>108</v>
      </c>
      <c r="S11" s="4"/>
      <c r="T11" s="4" t="s">
        <v>332</v>
      </c>
      <c r="U11" s="4"/>
      <c r="V11" s="4"/>
      <c r="W11" s="4"/>
      <c r="X11" s="21"/>
    </row>
    <row r="12" spans="1:24" ht="15" customHeight="1" thickBot="1" x14ac:dyDescent="0.35">
      <c r="A12" s="212"/>
      <c r="B12" s="319"/>
      <c r="C12" s="215"/>
      <c r="D12" s="19"/>
      <c r="E12" s="4"/>
      <c r="F12" s="4"/>
      <c r="G12" s="5" t="s">
        <v>39</v>
      </c>
      <c r="H12" s="276" t="s">
        <v>436</v>
      </c>
      <c r="I12" s="5" t="s">
        <v>334</v>
      </c>
      <c r="J12" s="5" t="s">
        <v>28</v>
      </c>
      <c r="K12" s="281"/>
      <c r="M12" s="4"/>
      <c r="N12" s="4"/>
      <c r="O12" s="4"/>
      <c r="P12" s="4"/>
      <c r="Q12" s="4"/>
      <c r="R12" s="4"/>
      <c r="S12" s="4"/>
      <c r="T12" s="4" t="s">
        <v>333</v>
      </c>
      <c r="U12" s="4"/>
      <c r="V12" s="4"/>
      <c r="W12" s="4"/>
      <c r="X12" s="21"/>
    </row>
    <row r="13" spans="1:24" ht="16.8" thickTop="1" thickBot="1" x14ac:dyDescent="0.35">
      <c r="A13" s="212"/>
      <c r="B13" s="213"/>
      <c r="C13" s="215"/>
      <c r="D13" s="19"/>
      <c r="E13" s="4"/>
      <c r="F13" s="4"/>
      <c r="G13" s="5" t="s">
        <v>39</v>
      </c>
      <c r="H13" s="276" t="s">
        <v>437</v>
      </c>
      <c r="I13" s="5" t="s">
        <v>335</v>
      </c>
      <c r="J13" s="2" t="s">
        <v>28</v>
      </c>
      <c r="K13" s="280"/>
      <c r="M13" s="4"/>
      <c r="N13" s="4"/>
      <c r="O13" s="4"/>
      <c r="P13" s="4"/>
      <c r="Q13" s="4"/>
      <c r="R13" s="4"/>
      <c r="S13" s="4"/>
      <c r="T13" s="4" t="s">
        <v>334</v>
      </c>
      <c r="U13" s="4"/>
      <c r="V13" s="4"/>
      <c r="W13" s="4"/>
      <c r="X13" s="21"/>
    </row>
    <row r="14" spans="1:24" ht="29.4" thickTop="1" x14ac:dyDescent="0.3">
      <c r="A14" s="212"/>
      <c r="B14" s="318" t="s">
        <v>512</v>
      </c>
      <c r="C14" s="215"/>
      <c r="D14" s="19"/>
      <c r="E14" s="4"/>
      <c r="F14" s="4"/>
      <c r="G14" s="5" t="s">
        <v>39</v>
      </c>
      <c r="H14" s="276" t="s">
        <v>438</v>
      </c>
      <c r="I14" s="5" t="s">
        <v>336</v>
      </c>
      <c r="J14" s="5" t="s">
        <v>94</v>
      </c>
      <c r="K14" s="281" t="s">
        <v>453</v>
      </c>
      <c r="L14" s="4"/>
      <c r="M14" s="4"/>
      <c r="N14" s="4"/>
      <c r="O14" s="4"/>
      <c r="P14" s="4"/>
      <c r="Q14" s="4"/>
      <c r="R14" s="4"/>
      <c r="S14" s="4"/>
      <c r="T14" s="4" t="s">
        <v>335</v>
      </c>
      <c r="U14" s="4"/>
      <c r="V14" s="4"/>
      <c r="W14" s="4"/>
      <c r="X14" s="21"/>
    </row>
    <row r="15" spans="1:24" ht="15" customHeight="1" thickBot="1" x14ac:dyDescent="0.35">
      <c r="A15" s="212"/>
      <c r="B15" s="319"/>
      <c r="C15" s="215"/>
      <c r="D15" s="19"/>
      <c r="E15" s="4"/>
      <c r="F15" s="4"/>
      <c r="G15" s="5" t="s">
        <v>40</v>
      </c>
      <c r="H15" s="2" t="s">
        <v>468</v>
      </c>
      <c r="I15" s="5" t="s">
        <v>337</v>
      </c>
      <c r="J15" s="5" t="s">
        <v>28</v>
      </c>
      <c r="K15" s="281"/>
      <c r="L15" s="4"/>
      <c r="M15" s="4"/>
      <c r="N15" s="4"/>
      <c r="O15" s="4"/>
      <c r="P15" s="4"/>
      <c r="Q15" s="4"/>
      <c r="R15" s="4"/>
      <c r="S15" s="4"/>
      <c r="T15" s="4" t="s">
        <v>336</v>
      </c>
      <c r="U15" s="4"/>
      <c r="V15" s="4"/>
      <c r="W15" s="4"/>
      <c r="X15" s="21"/>
    </row>
    <row r="16" spans="1:24" ht="16.8" thickTop="1" thickBot="1" x14ac:dyDescent="0.35">
      <c r="A16" s="212"/>
      <c r="B16" s="213"/>
      <c r="C16" s="215"/>
      <c r="D16" s="19"/>
      <c r="E16" s="4"/>
      <c r="F16" s="4"/>
      <c r="G16" s="5" t="s">
        <v>40</v>
      </c>
      <c r="H16" s="2" t="s">
        <v>469</v>
      </c>
      <c r="I16" s="5" t="s">
        <v>338</v>
      </c>
      <c r="J16" s="5" t="s">
        <v>28</v>
      </c>
      <c r="K16" s="281"/>
      <c r="L16" s="4"/>
      <c r="M16" s="4"/>
      <c r="N16" s="4"/>
      <c r="O16" s="4"/>
      <c r="P16" s="4"/>
      <c r="Q16" s="4"/>
      <c r="R16" s="4"/>
      <c r="S16" s="4"/>
      <c r="T16" s="4" t="s">
        <v>337</v>
      </c>
      <c r="U16" s="4"/>
      <c r="V16" s="4"/>
      <c r="W16" s="4"/>
      <c r="X16" s="21"/>
    </row>
    <row r="17" spans="1:27" ht="15" customHeight="1" thickTop="1" x14ac:dyDescent="0.3">
      <c r="A17" s="212"/>
      <c r="B17" s="318" t="s">
        <v>266</v>
      </c>
      <c r="C17" s="215"/>
      <c r="D17" s="19"/>
      <c r="E17" s="4"/>
      <c r="F17" s="4"/>
      <c r="G17" s="5" t="s">
        <v>62</v>
      </c>
      <c r="H17" s="2" t="s">
        <v>477</v>
      </c>
      <c r="I17" s="5" t="s">
        <v>478</v>
      </c>
      <c r="J17" s="5" t="s">
        <v>28</v>
      </c>
      <c r="K17" s="281"/>
      <c r="L17" s="4"/>
      <c r="M17" s="4"/>
      <c r="N17" s="4"/>
      <c r="O17" s="4"/>
      <c r="P17" s="4"/>
      <c r="Q17" s="4"/>
      <c r="R17" s="4"/>
      <c r="S17" s="4"/>
      <c r="T17" s="4" t="s">
        <v>338</v>
      </c>
      <c r="U17" s="4"/>
      <c r="V17" s="4"/>
      <c r="W17" s="4"/>
      <c r="X17" s="21"/>
    </row>
    <row r="18" spans="1:27" ht="15" customHeight="1" thickBot="1" x14ac:dyDescent="0.35">
      <c r="A18" s="212"/>
      <c r="B18" s="319"/>
      <c r="C18" s="215"/>
      <c r="D18" s="19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 t="s">
        <v>478</v>
      </c>
      <c r="U18" s="4"/>
      <c r="V18" s="4"/>
      <c r="W18" s="4"/>
      <c r="X18" s="21"/>
    </row>
    <row r="19" spans="1:27" ht="16.8" thickTop="1" thickBot="1" x14ac:dyDescent="0.35">
      <c r="A19" s="212"/>
      <c r="B19" s="213"/>
      <c r="C19" s="215"/>
      <c r="D19" s="19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 t="s">
        <v>479</v>
      </c>
      <c r="U19" s="4"/>
      <c r="V19" s="4"/>
      <c r="W19" s="4"/>
      <c r="X19" s="21"/>
    </row>
    <row r="20" spans="1:27" ht="15" customHeight="1" thickTop="1" x14ac:dyDescent="0.3">
      <c r="A20" s="212"/>
      <c r="B20" s="318" t="s">
        <v>267</v>
      </c>
      <c r="C20" s="215"/>
      <c r="D20" s="19"/>
      <c r="E20" s="20" t="s">
        <v>46</v>
      </c>
      <c r="F20" s="4"/>
      <c r="G20" s="20" t="s">
        <v>58</v>
      </c>
      <c r="H20" s="4"/>
      <c r="I20" s="480" t="s">
        <v>254</v>
      </c>
      <c r="J20" s="480"/>
      <c r="K20" s="480"/>
      <c r="L20" s="4"/>
      <c r="M20" s="480" t="s">
        <v>255</v>
      </c>
      <c r="N20" s="480"/>
      <c r="O20" s="480"/>
      <c r="P20" s="4"/>
      <c r="Q20" s="480" t="s">
        <v>256</v>
      </c>
      <c r="R20" s="480"/>
      <c r="S20" s="480"/>
      <c r="T20" s="4"/>
      <c r="U20" s="480" t="s">
        <v>257</v>
      </c>
      <c r="V20" s="480"/>
      <c r="W20" s="480"/>
      <c r="X20" s="21"/>
      <c r="Y20" s="480" t="s">
        <v>294</v>
      </c>
      <c r="Z20" s="480"/>
      <c r="AA20" s="480"/>
    </row>
    <row r="21" spans="1:27" ht="15" customHeight="1" thickBot="1" x14ac:dyDescent="0.35">
      <c r="A21" s="212"/>
      <c r="B21" s="319"/>
      <c r="C21" s="215"/>
      <c r="D21" s="19"/>
      <c r="E21" s="4" t="s">
        <v>34</v>
      </c>
      <c r="F21" s="4"/>
      <c r="G21" s="4" t="s">
        <v>59</v>
      </c>
      <c r="H21" s="4"/>
      <c r="I21" s="4" t="s">
        <v>84</v>
      </c>
      <c r="J21" s="4" t="s">
        <v>83</v>
      </c>
      <c r="K21" s="4" t="s">
        <v>82</v>
      </c>
      <c r="L21" s="4"/>
      <c r="M21" s="4" t="s">
        <v>85</v>
      </c>
      <c r="N21" s="4" t="s">
        <v>86</v>
      </c>
      <c r="O21" s="4" t="s">
        <v>87</v>
      </c>
      <c r="P21" s="4"/>
      <c r="Q21" s="4" t="s">
        <v>89</v>
      </c>
      <c r="R21" s="4" t="s">
        <v>88</v>
      </c>
      <c r="S21" s="4" t="s">
        <v>90</v>
      </c>
      <c r="T21" s="4"/>
      <c r="U21" s="4" t="s">
        <v>130</v>
      </c>
      <c r="V21" s="4" t="s">
        <v>131</v>
      </c>
      <c r="W21" s="4" t="s">
        <v>132</v>
      </c>
      <c r="X21" s="21"/>
      <c r="Y21" s="4" t="s">
        <v>295</v>
      </c>
      <c r="Z21" s="4" t="s">
        <v>296</v>
      </c>
      <c r="AA21" s="4" t="s">
        <v>297</v>
      </c>
    </row>
    <row r="22" spans="1:27" ht="16.8" thickTop="1" thickBot="1" x14ac:dyDescent="0.35">
      <c r="A22" s="212"/>
      <c r="B22" s="213"/>
      <c r="C22" s="215"/>
      <c r="D22" s="19"/>
      <c r="E22" s="4" t="s">
        <v>43</v>
      </c>
      <c r="F22" s="4"/>
      <c r="G22" s="4" t="s">
        <v>60</v>
      </c>
      <c r="H22" s="4"/>
      <c r="I22" s="4" t="s">
        <v>79</v>
      </c>
      <c r="J22" s="4" t="s">
        <v>80</v>
      </c>
      <c r="K22" s="4" t="s">
        <v>10</v>
      </c>
      <c r="L22" s="4"/>
      <c r="M22" s="4" t="s">
        <v>79</v>
      </c>
      <c r="N22" s="4" t="s">
        <v>80</v>
      </c>
      <c r="O22" s="4" t="s">
        <v>10</v>
      </c>
      <c r="P22" s="4"/>
      <c r="Q22" s="4" t="s">
        <v>79</v>
      </c>
      <c r="R22" s="4" t="s">
        <v>80</v>
      </c>
      <c r="S22" s="4" t="s">
        <v>10</v>
      </c>
      <c r="T22" s="4"/>
      <c r="U22" s="4" t="s">
        <v>79</v>
      </c>
      <c r="V22" s="4" t="s">
        <v>80</v>
      </c>
      <c r="W22" s="4" t="s">
        <v>10</v>
      </c>
      <c r="X22" s="21"/>
      <c r="Y22" s="4" t="s">
        <v>79</v>
      </c>
      <c r="Z22" s="4" t="s">
        <v>80</v>
      </c>
      <c r="AA22" s="4" t="s">
        <v>10</v>
      </c>
    </row>
    <row r="23" spans="1:27" ht="15" customHeight="1" thickTop="1" x14ac:dyDescent="0.3">
      <c r="A23" s="212"/>
      <c r="B23" s="318" t="s">
        <v>268</v>
      </c>
      <c r="C23" s="215"/>
      <c r="D23" s="19"/>
      <c r="E23" s="4" t="s">
        <v>44</v>
      </c>
      <c r="F23" s="4"/>
      <c r="G23" s="4"/>
      <c r="H23" s="4"/>
      <c r="I23" s="4" t="s">
        <v>12</v>
      </c>
      <c r="J23" s="4" t="s">
        <v>81</v>
      </c>
      <c r="K23" s="4" t="s">
        <v>75</v>
      </c>
      <c r="L23" s="4"/>
      <c r="M23" s="4" t="s">
        <v>12</v>
      </c>
      <c r="N23" s="4" t="s">
        <v>81</v>
      </c>
      <c r="O23" s="4" t="s">
        <v>75</v>
      </c>
      <c r="P23" s="4"/>
      <c r="Q23" s="4" t="s">
        <v>12</v>
      </c>
      <c r="R23" s="4" t="s">
        <v>81</v>
      </c>
      <c r="S23" s="4" t="s">
        <v>75</v>
      </c>
      <c r="T23" s="4"/>
      <c r="U23" s="4" t="s">
        <v>12</v>
      </c>
      <c r="V23" s="4" t="s">
        <v>81</v>
      </c>
      <c r="W23" s="4" t="s">
        <v>75</v>
      </c>
      <c r="X23" s="21"/>
      <c r="Y23" s="4" t="s">
        <v>12</v>
      </c>
      <c r="Z23" s="4" t="s">
        <v>81</v>
      </c>
      <c r="AA23" s="4" t="s">
        <v>75</v>
      </c>
    </row>
    <row r="24" spans="1:27" ht="15" customHeight="1" thickBot="1" x14ac:dyDescent="0.35">
      <c r="A24" s="212"/>
      <c r="B24" s="319"/>
      <c r="C24" s="215"/>
      <c r="D24" s="19"/>
      <c r="E24" s="4" t="s">
        <v>45</v>
      </c>
      <c r="F24" s="4"/>
      <c r="G24" s="4"/>
      <c r="H24" s="4"/>
      <c r="I24" t="s">
        <v>27</v>
      </c>
      <c r="J24" t="s">
        <v>13</v>
      </c>
      <c r="K24" s="45" t="s">
        <v>24</v>
      </c>
      <c r="L24" s="4"/>
      <c r="M24" t="s">
        <v>27</v>
      </c>
      <c r="N24" t="s">
        <v>13</v>
      </c>
      <c r="O24" s="45" t="s">
        <v>24</v>
      </c>
      <c r="P24" s="4"/>
      <c r="Q24" t="s">
        <v>27</v>
      </c>
      <c r="R24" t="s">
        <v>13</v>
      </c>
      <c r="S24" s="45" t="s">
        <v>24</v>
      </c>
      <c r="T24" s="4"/>
      <c r="U24" t="s">
        <v>27</v>
      </c>
      <c r="V24" t="s">
        <v>13</v>
      </c>
      <c r="W24" s="45" t="s">
        <v>24</v>
      </c>
      <c r="X24" s="21"/>
      <c r="Y24" t="s">
        <v>27</v>
      </c>
      <c r="Z24" t="s">
        <v>13</v>
      </c>
      <c r="AA24" s="45" t="s">
        <v>24</v>
      </c>
    </row>
    <row r="25" spans="1:27" ht="16.8" thickTop="1" thickBot="1" x14ac:dyDescent="0.35">
      <c r="A25" s="212"/>
      <c r="B25" s="213"/>
      <c r="C25" s="215"/>
      <c r="D25" s="19"/>
      <c r="E25" s="4"/>
      <c r="F25" s="4"/>
      <c r="G25" s="4"/>
      <c r="H25" s="4"/>
      <c r="J25" t="s">
        <v>20</v>
      </c>
      <c r="K25" s="4" t="s">
        <v>18</v>
      </c>
      <c r="L25" s="4"/>
      <c r="N25" t="s">
        <v>20</v>
      </c>
      <c r="O25" s="4" t="s">
        <v>18</v>
      </c>
      <c r="P25" s="4"/>
      <c r="R25" t="s">
        <v>20</v>
      </c>
      <c r="S25" s="4" t="s">
        <v>18</v>
      </c>
      <c r="T25" s="4"/>
      <c r="V25" t="s">
        <v>20</v>
      </c>
      <c r="W25" s="4" t="s">
        <v>18</v>
      </c>
      <c r="X25" s="21"/>
      <c r="Z25" t="s">
        <v>20</v>
      </c>
      <c r="AA25" s="4" t="s">
        <v>18</v>
      </c>
    </row>
    <row r="26" spans="1:27" ht="15" customHeight="1" thickTop="1" x14ac:dyDescent="0.3">
      <c r="A26" s="212"/>
      <c r="B26" s="318" t="s">
        <v>269</v>
      </c>
      <c r="C26" s="215"/>
      <c r="D26" s="19"/>
      <c r="E26" s="4"/>
      <c r="F26" s="4"/>
      <c r="G26" s="4"/>
      <c r="H26" s="4"/>
      <c r="J26" t="s">
        <v>14</v>
      </c>
      <c r="K26" s="4" t="s">
        <v>21</v>
      </c>
      <c r="L26" s="4"/>
      <c r="N26" t="s">
        <v>14</v>
      </c>
      <c r="O26" s="4" t="s">
        <v>21</v>
      </c>
      <c r="P26" s="4"/>
      <c r="R26" t="s">
        <v>14</v>
      </c>
      <c r="S26" s="4" t="s">
        <v>21</v>
      </c>
      <c r="T26" s="4"/>
      <c r="V26" t="s">
        <v>14</v>
      </c>
      <c r="W26" s="4" t="s">
        <v>21</v>
      </c>
      <c r="X26" s="21"/>
      <c r="Z26" t="s">
        <v>14</v>
      </c>
      <c r="AA26" s="4" t="s">
        <v>21</v>
      </c>
    </row>
    <row r="27" spans="1:27" ht="15" customHeight="1" thickBot="1" x14ac:dyDescent="0.35">
      <c r="A27" s="212"/>
      <c r="B27" s="319"/>
      <c r="C27" s="215"/>
      <c r="D27" s="19"/>
      <c r="H27" s="4"/>
      <c r="J27" t="s">
        <v>80</v>
      </c>
      <c r="K27" s="4" t="s">
        <v>27</v>
      </c>
      <c r="L27" s="4"/>
      <c r="N27" t="s">
        <v>27</v>
      </c>
      <c r="O27" s="4" t="s">
        <v>27</v>
      </c>
      <c r="P27" s="4"/>
      <c r="R27" t="s">
        <v>27</v>
      </c>
      <c r="S27" s="4" t="s">
        <v>27</v>
      </c>
      <c r="T27" s="4"/>
      <c r="V27" t="s">
        <v>27</v>
      </c>
      <c r="W27" s="4" t="s">
        <v>27</v>
      </c>
      <c r="X27" s="21"/>
      <c r="Z27" t="s">
        <v>27</v>
      </c>
      <c r="AA27" s="4" t="s">
        <v>27</v>
      </c>
    </row>
    <row r="28" spans="1:27" ht="16.8" thickTop="1" thickBot="1" x14ac:dyDescent="0.35">
      <c r="A28" s="212"/>
      <c r="B28" s="213"/>
      <c r="C28" s="215"/>
      <c r="D28" s="19"/>
      <c r="H28" s="4"/>
      <c r="J28" t="s">
        <v>91</v>
      </c>
      <c r="K28" s="4"/>
      <c r="L28" s="4"/>
      <c r="O28" s="4"/>
      <c r="P28" s="4"/>
      <c r="S28" s="4"/>
      <c r="T28" s="4"/>
      <c r="U28" s="4"/>
      <c r="V28" s="4"/>
      <c r="W28" s="4"/>
      <c r="X28" s="21"/>
    </row>
    <row r="29" spans="1:27" ht="15" customHeight="1" thickTop="1" x14ac:dyDescent="0.3">
      <c r="A29" s="212"/>
      <c r="B29" s="318" t="s">
        <v>270</v>
      </c>
      <c r="C29" s="215"/>
      <c r="D29" s="19"/>
      <c r="H29" s="4"/>
      <c r="J29" t="s">
        <v>92</v>
      </c>
      <c r="K29" s="4"/>
      <c r="L29" s="4"/>
      <c r="O29" s="4"/>
      <c r="P29" s="4"/>
      <c r="S29" s="4"/>
      <c r="T29" s="4"/>
      <c r="U29" s="4"/>
      <c r="V29" s="4"/>
      <c r="W29" s="4"/>
      <c r="X29" s="21"/>
    </row>
    <row r="30" spans="1:27" ht="15" customHeight="1" thickBot="1" x14ac:dyDescent="0.35">
      <c r="A30" s="212"/>
      <c r="B30" s="319"/>
      <c r="C30" s="215"/>
      <c r="D30" s="19"/>
      <c r="H30" s="4"/>
      <c r="J30" t="s">
        <v>27</v>
      </c>
      <c r="K30" s="4"/>
      <c r="L30" s="4"/>
      <c r="O30" s="4"/>
      <c r="P30" s="4"/>
      <c r="S30" s="4"/>
      <c r="T30" s="4"/>
      <c r="U30" s="4"/>
      <c r="V30" s="4"/>
      <c r="W30" s="4"/>
      <c r="X30" s="21"/>
    </row>
    <row r="31" spans="1:27" ht="16.8" thickTop="1" thickBot="1" x14ac:dyDescent="0.35">
      <c r="A31" s="212"/>
      <c r="B31" s="213"/>
      <c r="C31" s="215"/>
      <c r="D31" s="19"/>
      <c r="E31" s="44"/>
      <c r="F31" s="44"/>
      <c r="G31" s="44"/>
      <c r="H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21"/>
    </row>
    <row r="32" spans="1:27" ht="15" customHeight="1" thickTop="1" x14ac:dyDescent="0.3">
      <c r="A32" s="212"/>
      <c r="B32" s="318" t="s">
        <v>271</v>
      </c>
      <c r="C32" s="215"/>
      <c r="D32" s="480" t="s">
        <v>258</v>
      </c>
      <c r="E32" s="480"/>
      <c r="F32" s="480"/>
      <c r="G32" s="480"/>
      <c r="H32" s="480"/>
      <c r="I32" s="480"/>
      <c r="J32" s="480"/>
      <c r="K32" s="480"/>
      <c r="L32" s="480"/>
      <c r="M32" s="480"/>
      <c r="N32" s="480"/>
      <c r="O32" s="480"/>
      <c r="P32" s="480"/>
      <c r="Q32" s="4"/>
      <c r="R32" s="4"/>
      <c r="S32" s="4"/>
      <c r="T32" s="4"/>
      <c r="U32" s="4"/>
      <c r="V32" s="4"/>
      <c r="W32" s="4"/>
      <c r="X32" s="21"/>
    </row>
    <row r="33" spans="1:24" ht="15" customHeight="1" thickBot="1" x14ac:dyDescent="0.35">
      <c r="A33" s="212"/>
      <c r="B33" s="319"/>
      <c r="C33" s="215"/>
      <c r="D33" s="4" t="s">
        <v>76</v>
      </c>
      <c r="E33" s="20" t="s">
        <v>29</v>
      </c>
      <c r="F33" s="20" t="s">
        <v>0</v>
      </c>
      <c r="G33" s="20" t="s">
        <v>2</v>
      </c>
      <c r="H33" s="20" t="s">
        <v>3</v>
      </c>
      <c r="I33" s="20" t="s">
        <v>4</v>
      </c>
      <c r="J33" s="20" t="s">
        <v>5</v>
      </c>
      <c r="K33" s="20" t="s">
        <v>6</v>
      </c>
      <c r="L33" s="20" t="s">
        <v>7</v>
      </c>
      <c r="M33" s="20" t="s">
        <v>8</v>
      </c>
      <c r="N33" s="20" t="s">
        <v>15</v>
      </c>
      <c r="O33" s="20" t="s">
        <v>16</v>
      </c>
      <c r="P33" s="20" t="s">
        <v>30</v>
      </c>
      <c r="Q33" s="4"/>
      <c r="R33" s="4"/>
      <c r="S33" s="4"/>
      <c r="T33" s="4"/>
      <c r="U33" s="4"/>
      <c r="V33" s="4"/>
      <c r="W33" s="4"/>
      <c r="X33" s="21"/>
    </row>
    <row r="34" spans="1:24" ht="16.8" thickTop="1" thickBot="1" x14ac:dyDescent="0.35">
      <c r="A34" s="212"/>
      <c r="B34" s="213"/>
      <c r="C34" s="215"/>
      <c r="D34" s="20" t="s">
        <v>11</v>
      </c>
      <c r="E34" s="4" t="s">
        <v>27</v>
      </c>
      <c r="F34" s="4" t="s">
        <v>12</v>
      </c>
      <c r="G34" s="4" t="s">
        <v>27</v>
      </c>
      <c r="H34" s="4" t="s">
        <v>27</v>
      </c>
      <c r="I34" s="4" t="s">
        <v>12</v>
      </c>
      <c r="J34" s="4" t="s">
        <v>79</v>
      </c>
      <c r="K34" s="4" t="s">
        <v>79</v>
      </c>
      <c r="L34" s="4" t="s">
        <v>12</v>
      </c>
      <c r="M34" s="4" t="s">
        <v>12</v>
      </c>
      <c r="N34" s="4" t="s">
        <v>79</v>
      </c>
      <c r="O34" s="4" t="s">
        <v>12</v>
      </c>
      <c r="P34" s="4" t="s">
        <v>27</v>
      </c>
      <c r="Q34" s="4"/>
      <c r="R34" s="4"/>
      <c r="S34" s="4"/>
      <c r="T34" s="4"/>
      <c r="U34" s="4"/>
      <c r="V34" s="4"/>
      <c r="W34" s="4"/>
      <c r="X34" s="21"/>
    </row>
    <row r="35" spans="1:24" ht="15" customHeight="1" thickTop="1" x14ac:dyDescent="0.3">
      <c r="A35" s="212"/>
      <c r="B35" s="318" t="s">
        <v>272</v>
      </c>
      <c r="C35" s="215"/>
      <c r="D35" s="20" t="s">
        <v>9</v>
      </c>
      <c r="E35" s="4" t="s">
        <v>27</v>
      </c>
      <c r="F35" s="4" t="s">
        <v>27</v>
      </c>
      <c r="G35" s="4" t="s">
        <v>27</v>
      </c>
      <c r="H35" s="4" t="s">
        <v>91</v>
      </c>
      <c r="I35" s="4" t="s">
        <v>80</v>
      </c>
      <c r="J35" s="4" t="s">
        <v>91</v>
      </c>
      <c r="K35" s="4" t="s">
        <v>13</v>
      </c>
      <c r="L35" s="4" t="s">
        <v>20</v>
      </c>
      <c r="M35" s="4" t="s">
        <v>14</v>
      </c>
      <c r="N35" s="4" t="s">
        <v>27</v>
      </c>
      <c r="O35" s="4" t="s">
        <v>27</v>
      </c>
      <c r="P35" s="4" t="s">
        <v>27</v>
      </c>
      <c r="Q35" s="4"/>
      <c r="R35" s="4"/>
      <c r="S35" s="4"/>
      <c r="T35" s="4"/>
      <c r="U35" s="4"/>
      <c r="V35" s="4"/>
      <c r="W35" s="4"/>
      <c r="X35" s="21"/>
    </row>
    <row r="36" spans="1:24" ht="15" customHeight="1" thickBot="1" x14ac:dyDescent="0.35">
      <c r="A36" s="212"/>
      <c r="B36" s="319"/>
      <c r="C36" s="215"/>
      <c r="D36" s="20" t="s">
        <v>1</v>
      </c>
      <c r="E36" s="4" t="s">
        <v>27</v>
      </c>
      <c r="F36" s="4" t="s">
        <v>27</v>
      </c>
      <c r="G36" s="4" t="s">
        <v>27</v>
      </c>
      <c r="H36" s="4" t="s">
        <v>27</v>
      </c>
      <c r="I36" s="4" t="s">
        <v>10</v>
      </c>
      <c r="J36" s="4" t="s">
        <v>75</v>
      </c>
      <c r="K36" s="4" t="s">
        <v>24</v>
      </c>
      <c r="L36" s="4" t="s">
        <v>18</v>
      </c>
      <c r="M36" s="4" t="s">
        <v>27</v>
      </c>
      <c r="N36" s="4" t="s">
        <v>21</v>
      </c>
      <c r="O36" s="4" t="s">
        <v>27</v>
      </c>
      <c r="P36" s="4" t="s">
        <v>27</v>
      </c>
      <c r="Q36" s="4"/>
      <c r="R36" s="4"/>
      <c r="S36" s="4"/>
      <c r="T36" s="4"/>
      <c r="U36" s="4"/>
      <c r="V36" s="4"/>
      <c r="W36" s="4"/>
      <c r="X36" s="21"/>
    </row>
    <row r="37" spans="1:24" ht="16.8" thickTop="1" thickBot="1" x14ac:dyDescent="0.35">
      <c r="A37" s="212"/>
      <c r="B37" s="213"/>
      <c r="C37" s="215"/>
      <c r="D37" s="20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21"/>
    </row>
    <row r="38" spans="1:24" ht="15" customHeight="1" thickTop="1" x14ac:dyDescent="0.3">
      <c r="A38" s="212"/>
      <c r="B38" s="318" t="s">
        <v>273</v>
      </c>
      <c r="C38" s="215"/>
      <c r="D38" s="480" t="s">
        <v>259</v>
      </c>
      <c r="E38" s="480"/>
      <c r="F38" s="480"/>
      <c r="G38" s="480"/>
      <c r="H38" s="480"/>
      <c r="I38" s="480"/>
      <c r="J38" s="480"/>
      <c r="K38" s="480"/>
      <c r="L38" s="480"/>
      <c r="M38" s="480"/>
      <c r="N38" s="480"/>
      <c r="O38" s="480"/>
      <c r="P38" s="480"/>
      <c r="Q38" s="4"/>
      <c r="R38" s="4"/>
      <c r="S38" s="4"/>
      <c r="T38" s="4"/>
      <c r="U38" s="4"/>
      <c r="V38" s="4"/>
      <c r="W38" s="4"/>
      <c r="X38" s="21"/>
    </row>
    <row r="39" spans="1:24" ht="15" customHeight="1" thickBot="1" x14ac:dyDescent="0.35">
      <c r="A39" s="212"/>
      <c r="B39" s="319"/>
      <c r="C39" s="215"/>
      <c r="D39" s="4" t="s">
        <v>76</v>
      </c>
      <c r="E39" s="20" t="s">
        <v>29</v>
      </c>
      <c r="F39" s="20" t="s">
        <v>0</v>
      </c>
      <c r="G39" s="20" t="s">
        <v>2</v>
      </c>
      <c r="H39" s="20" t="s">
        <v>3</v>
      </c>
      <c r="I39" s="20" t="s">
        <v>4</v>
      </c>
      <c r="J39" s="20" t="s">
        <v>5</v>
      </c>
      <c r="K39" s="20" t="s">
        <v>6</v>
      </c>
      <c r="L39" s="20" t="s">
        <v>7</v>
      </c>
      <c r="M39" s="20" t="s">
        <v>8</v>
      </c>
      <c r="N39" s="20" t="s">
        <v>15</v>
      </c>
      <c r="O39" s="20" t="s">
        <v>16</v>
      </c>
      <c r="P39" s="20" t="s">
        <v>30</v>
      </c>
      <c r="Q39" s="4"/>
      <c r="R39" s="4"/>
      <c r="S39" s="4"/>
      <c r="T39" s="4"/>
      <c r="U39" s="4"/>
      <c r="V39" s="4"/>
      <c r="W39" s="4"/>
      <c r="X39" s="21"/>
    </row>
    <row r="40" spans="1:24" ht="16.8" thickTop="1" thickBot="1" x14ac:dyDescent="0.35">
      <c r="A40" s="212"/>
      <c r="B40" s="213"/>
      <c r="C40" s="215"/>
      <c r="D40" s="20" t="s">
        <v>11</v>
      </c>
      <c r="E40" s="4" t="s">
        <v>27</v>
      </c>
      <c r="F40" s="4" t="s">
        <v>12</v>
      </c>
      <c r="G40" s="4" t="s">
        <v>27</v>
      </c>
      <c r="H40" s="4" t="s">
        <v>27</v>
      </c>
      <c r="I40" s="4" t="s">
        <v>12</v>
      </c>
      <c r="J40" s="4" t="s">
        <v>79</v>
      </c>
      <c r="K40" s="4" t="s">
        <v>79</v>
      </c>
      <c r="L40" s="4" t="s">
        <v>12</v>
      </c>
      <c r="M40" s="4" t="s">
        <v>12</v>
      </c>
      <c r="N40" s="4" t="s">
        <v>79</v>
      </c>
      <c r="O40" s="4" t="s">
        <v>12</v>
      </c>
      <c r="P40" s="4" t="s">
        <v>27</v>
      </c>
      <c r="Q40" s="22"/>
      <c r="R40" s="22"/>
      <c r="S40" s="22"/>
      <c r="T40" s="22"/>
      <c r="U40" s="22"/>
      <c r="V40" s="22"/>
      <c r="W40" s="22"/>
      <c r="X40" s="23"/>
    </row>
    <row r="41" spans="1:24" ht="15" customHeight="1" thickTop="1" x14ac:dyDescent="0.3">
      <c r="A41" s="212"/>
      <c r="B41" s="318" t="s">
        <v>274</v>
      </c>
      <c r="C41" s="215"/>
      <c r="D41" s="20" t="s">
        <v>9</v>
      </c>
      <c r="E41" s="4" t="s">
        <v>27</v>
      </c>
      <c r="F41" s="4" t="s">
        <v>27</v>
      </c>
      <c r="G41" s="4" t="s">
        <v>27</v>
      </c>
      <c r="H41" s="4" t="s">
        <v>91</v>
      </c>
      <c r="I41" s="4" t="s">
        <v>80</v>
      </c>
      <c r="J41" s="4" t="s">
        <v>91</v>
      </c>
      <c r="K41" s="4" t="s">
        <v>13</v>
      </c>
      <c r="L41" s="4" t="s">
        <v>20</v>
      </c>
      <c r="M41" s="4" t="s">
        <v>14</v>
      </c>
      <c r="N41" s="4" t="s">
        <v>27</v>
      </c>
      <c r="O41" s="4" t="s">
        <v>27</v>
      </c>
      <c r="P41" s="4" t="s">
        <v>27</v>
      </c>
    </row>
    <row r="42" spans="1:24" ht="15" customHeight="1" thickBot="1" x14ac:dyDescent="0.35">
      <c r="A42" s="212"/>
      <c r="B42" s="319"/>
      <c r="C42" s="215"/>
      <c r="D42" s="20" t="s">
        <v>1</v>
      </c>
      <c r="E42" s="4" t="s">
        <v>27</v>
      </c>
      <c r="F42" s="4" t="s">
        <v>27</v>
      </c>
      <c r="G42" s="4" t="s">
        <v>27</v>
      </c>
      <c r="H42" s="4" t="s">
        <v>27</v>
      </c>
      <c r="I42" s="4" t="s">
        <v>10</v>
      </c>
      <c r="J42" s="4" t="s">
        <v>75</v>
      </c>
      <c r="K42" s="4" t="s">
        <v>24</v>
      </c>
      <c r="L42" s="4" t="s">
        <v>18</v>
      </c>
      <c r="M42" s="4" t="s">
        <v>27</v>
      </c>
      <c r="N42" s="4" t="s">
        <v>21</v>
      </c>
      <c r="O42" s="4" t="s">
        <v>27</v>
      </c>
      <c r="P42" s="4" t="s">
        <v>27</v>
      </c>
    </row>
    <row r="43" spans="1:24" ht="16.8" thickTop="1" thickBot="1" x14ac:dyDescent="0.35">
      <c r="A43" s="212"/>
      <c r="B43" s="213"/>
      <c r="C43" s="215"/>
      <c r="D43" s="20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</row>
    <row r="44" spans="1:24" ht="15" customHeight="1" thickTop="1" x14ac:dyDescent="0.3">
      <c r="A44" s="212"/>
      <c r="B44" s="318" t="s">
        <v>275</v>
      </c>
      <c r="C44" s="215"/>
      <c r="D44" s="480" t="s">
        <v>260</v>
      </c>
      <c r="E44" s="480"/>
      <c r="F44" s="480"/>
      <c r="G44" s="480"/>
      <c r="H44" s="480"/>
      <c r="I44" s="480"/>
      <c r="J44" s="480"/>
      <c r="K44" s="480"/>
      <c r="L44" s="480"/>
      <c r="M44" s="480"/>
      <c r="N44" s="480"/>
      <c r="O44" s="480"/>
      <c r="P44" s="480"/>
    </row>
    <row r="45" spans="1:24" ht="15" customHeight="1" thickBot="1" x14ac:dyDescent="0.35">
      <c r="A45" s="212"/>
      <c r="B45" s="319"/>
      <c r="C45" s="215"/>
      <c r="D45" s="4" t="s">
        <v>76</v>
      </c>
      <c r="E45" s="20" t="s">
        <v>29</v>
      </c>
      <c r="F45" s="20" t="s">
        <v>0</v>
      </c>
      <c r="G45" s="20" t="s">
        <v>2</v>
      </c>
      <c r="H45" s="20" t="s">
        <v>3</v>
      </c>
      <c r="I45" s="20" t="s">
        <v>4</v>
      </c>
      <c r="J45" s="20" t="s">
        <v>5</v>
      </c>
      <c r="K45" s="20" t="s">
        <v>6</v>
      </c>
      <c r="L45" s="20" t="s">
        <v>7</v>
      </c>
      <c r="M45" s="20" t="s">
        <v>8</v>
      </c>
      <c r="N45" s="20" t="s">
        <v>15</v>
      </c>
      <c r="O45" s="20" t="s">
        <v>16</v>
      </c>
      <c r="P45" s="20" t="s">
        <v>30</v>
      </c>
    </row>
    <row r="46" spans="1:24" ht="16.8" thickTop="1" thickBot="1" x14ac:dyDescent="0.35">
      <c r="A46" s="212"/>
      <c r="B46" s="213"/>
      <c r="C46" s="215"/>
      <c r="D46" s="20" t="s">
        <v>11</v>
      </c>
      <c r="E46" s="4" t="s">
        <v>27</v>
      </c>
      <c r="F46" s="4" t="s">
        <v>12</v>
      </c>
      <c r="G46" s="4" t="s">
        <v>27</v>
      </c>
      <c r="H46" s="4" t="s">
        <v>27</v>
      </c>
      <c r="I46" s="4" t="s">
        <v>12</v>
      </c>
      <c r="J46" s="4" t="s">
        <v>79</v>
      </c>
      <c r="K46" s="4" t="s">
        <v>79</v>
      </c>
      <c r="L46" s="4" t="s">
        <v>12</v>
      </c>
      <c r="M46" s="4" t="s">
        <v>12</v>
      </c>
      <c r="N46" s="4" t="s">
        <v>79</v>
      </c>
      <c r="O46" s="4" t="s">
        <v>12</v>
      </c>
      <c r="P46" s="4" t="s">
        <v>27</v>
      </c>
    </row>
    <row r="47" spans="1:24" ht="15" customHeight="1" thickTop="1" x14ac:dyDescent="0.3">
      <c r="A47" s="212"/>
      <c r="B47" s="318" t="s">
        <v>276</v>
      </c>
      <c r="C47" s="215"/>
      <c r="D47" s="20" t="s">
        <v>9</v>
      </c>
      <c r="E47" s="4" t="s">
        <v>27</v>
      </c>
      <c r="F47" s="4" t="s">
        <v>27</v>
      </c>
      <c r="G47" s="4" t="s">
        <v>27</v>
      </c>
      <c r="H47" s="4" t="s">
        <v>91</v>
      </c>
      <c r="I47" s="4" t="s">
        <v>80</v>
      </c>
      <c r="J47" s="4" t="s">
        <v>91</v>
      </c>
      <c r="K47" s="4" t="s">
        <v>13</v>
      </c>
      <c r="L47" s="4" t="s">
        <v>20</v>
      </c>
      <c r="M47" s="4" t="s">
        <v>14</v>
      </c>
      <c r="N47" s="4" t="s">
        <v>27</v>
      </c>
      <c r="O47" s="4" t="s">
        <v>27</v>
      </c>
      <c r="P47" s="4" t="s">
        <v>27</v>
      </c>
    </row>
    <row r="48" spans="1:24" ht="15" customHeight="1" thickBot="1" x14ac:dyDescent="0.35">
      <c r="A48" s="212"/>
      <c r="B48" s="319"/>
      <c r="C48" s="215"/>
      <c r="D48" s="20" t="s">
        <v>1</v>
      </c>
      <c r="E48" s="4" t="s">
        <v>27</v>
      </c>
      <c r="F48" s="4" t="s">
        <v>27</v>
      </c>
      <c r="G48" s="4" t="s">
        <v>27</v>
      </c>
      <c r="H48" s="4" t="s">
        <v>27</v>
      </c>
      <c r="I48" s="4" t="s">
        <v>10</v>
      </c>
      <c r="J48" s="4" t="s">
        <v>75</v>
      </c>
      <c r="K48" s="4" t="s">
        <v>24</v>
      </c>
      <c r="L48" s="4" t="s">
        <v>18</v>
      </c>
      <c r="M48" s="4" t="s">
        <v>27</v>
      </c>
      <c r="N48" s="4" t="s">
        <v>21</v>
      </c>
      <c r="O48" s="4" t="s">
        <v>27</v>
      </c>
      <c r="P48" s="4" t="s">
        <v>27</v>
      </c>
    </row>
    <row r="49" spans="1:16" ht="16.8" thickTop="1" thickBot="1" x14ac:dyDescent="0.35">
      <c r="A49" s="212"/>
      <c r="B49" s="213"/>
      <c r="C49" s="215"/>
    </row>
    <row r="50" spans="1:16" ht="15" customHeight="1" thickTop="1" x14ac:dyDescent="0.3">
      <c r="A50" s="212"/>
      <c r="B50" s="318" t="s">
        <v>277</v>
      </c>
      <c r="C50" s="215"/>
      <c r="D50" s="480" t="s">
        <v>261</v>
      </c>
      <c r="E50" s="480"/>
      <c r="F50" s="480"/>
      <c r="G50" s="480"/>
      <c r="H50" s="480"/>
      <c r="I50" s="480"/>
      <c r="J50" s="480"/>
      <c r="K50" s="480"/>
      <c r="L50" s="480"/>
      <c r="M50" s="480"/>
      <c r="N50" s="480"/>
      <c r="O50" s="480"/>
      <c r="P50" s="480"/>
    </row>
    <row r="51" spans="1:16" ht="15" customHeight="1" thickBot="1" x14ac:dyDescent="0.35">
      <c r="A51" s="212"/>
      <c r="B51" s="319"/>
      <c r="C51" s="215"/>
      <c r="D51" s="4" t="s">
        <v>76</v>
      </c>
      <c r="E51" s="20" t="s">
        <v>29</v>
      </c>
      <c r="F51" s="20" t="s">
        <v>0</v>
      </c>
      <c r="G51" s="20" t="s">
        <v>2</v>
      </c>
      <c r="H51" s="20" t="s">
        <v>3</v>
      </c>
      <c r="I51" s="20" t="s">
        <v>4</v>
      </c>
      <c r="J51" s="20" t="s">
        <v>5</v>
      </c>
      <c r="K51" s="20" t="s">
        <v>6</v>
      </c>
      <c r="L51" s="20" t="s">
        <v>7</v>
      </c>
      <c r="M51" s="20" t="s">
        <v>8</v>
      </c>
      <c r="N51" s="20" t="s">
        <v>15</v>
      </c>
      <c r="O51" s="20" t="s">
        <v>16</v>
      </c>
      <c r="P51" s="20" t="s">
        <v>30</v>
      </c>
    </row>
    <row r="52" spans="1:16" ht="16.2" thickTop="1" x14ac:dyDescent="0.3">
      <c r="A52" s="212"/>
      <c r="B52" s="213"/>
      <c r="C52" s="215"/>
      <c r="D52" s="20" t="s">
        <v>11</v>
      </c>
      <c r="E52" s="4" t="s">
        <v>27</v>
      </c>
      <c r="F52" s="4" t="s">
        <v>12</v>
      </c>
      <c r="G52" s="4" t="s">
        <v>27</v>
      </c>
      <c r="H52" s="4" t="s">
        <v>27</v>
      </c>
      <c r="I52" s="4" t="s">
        <v>12</v>
      </c>
      <c r="J52" s="4" t="s">
        <v>79</v>
      </c>
      <c r="K52" s="4" t="s">
        <v>79</v>
      </c>
      <c r="L52" s="4" t="s">
        <v>12</v>
      </c>
      <c r="M52" s="4" t="s">
        <v>12</v>
      </c>
      <c r="N52" s="4" t="s">
        <v>79</v>
      </c>
      <c r="O52" s="4" t="s">
        <v>12</v>
      </c>
      <c r="P52" s="4" t="s">
        <v>27</v>
      </c>
    </row>
    <row r="53" spans="1:16" x14ac:dyDescent="0.3">
      <c r="A53" s="212"/>
      <c r="B53" s="213"/>
      <c r="C53" s="215"/>
      <c r="D53" s="20" t="s">
        <v>9</v>
      </c>
      <c r="E53" s="4" t="s">
        <v>27</v>
      </c>
      <c r="F53" s="4" t="s">
        <v>27</v>
      </c>
      <c r="G53" s="4" t="s">
        <v>27</v>
      </c>
      <c r="H53" s="4" t="s">
        <v>91</v>
      </c>
      <c r="I53" s="4" t="s">
        <v>80</v>
      </c>
      <c r="J53" s="4" t="s">
        <v>91</v>
      </c>
      <c r="K53" s="4" t="s">
        <v>13</v>
      </c>
      <c r="L53" s="4" t="s">
        <v>20</v>
      </c>
      <c r="M53" s="4" t="s">
        <v>14</v>
      </c>
      <c r="N53" s="4" t="s">
        <v>27</v>
      </c>
      <c r="O53" s="4" t="s">
        <v>27</v>
      </c>
      <c r="P53" s="4" t="s">
        <v>27</v>
      </c>
    </row>
    <row r="54" spans="1:16" x14ac:dyDescent="0.3">
      <c r="A54" s="212"/>
      <c r="B54" s="231"/>
      <c r="C54" s="215"/>
      <c r="D54" s="20" t="s">
        <v>1</v>
      </c>
      <c r="E54" s="4" t="s">
        <v>27</v>
      </c>
      <c r="F54" s="4" t="s">
        <v>27</v>
      </c>
      <c r="G54" s="4" t="s">
        <v>27</v>
      </c>
      <c r="H54" s="4" t="s">
        <v>27</v>
      </c>
      <c r="I54" s="4" t="s">
        <v>10</v>
      </c>
      <c r="J54" s="4" t="s">
        <v>75</v>
      </c>
      <c r="K54" s="4" t="s">
        <v>24</v>
      </c>
      <c r="L54" s="4" t="s">
        <v>18</v>
      </c>
      <c r="M54" s="4" t="s">
        <v>27</v>
      </c>
      <c r="N54" s="4" t="s">
        <v>21</v>
      </c>
      <c r="O54" s="4" t="s">
        <v>27</v>
      </c>
      <c r="P54" s="4" t="s">
        <v>27</v>
      </c>
    </row>
    <row r="55" spans="1:16" x14ac:dyDescent="0.3">
      <c r="A55" s="212"/>
      <c r="B55" s="231"/>
      <c r="C55" s="215"/>
      <c r="D55" s="20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16" x14ac:dyDescent="0.3">
      <c r="A56" s="212"/>
      <c r="B56" s="213"/>
      <c r="C56" s="215"/>
      <c r="D56" s="480" t="s">
        <v>293</v>
      </c>
      <c r="E56" s="480"/>
      <c r="F56" s="480"/>
      <c r="G56" s="480"/>
      <c r="H56" s="480"/>
      <c r="I56" s="480"/>
      <c r="J56" s="480"/>
      <c r="K56" s="480"/>
      <c r="L56" s="480"/>
      <c r="M56" s="480"/>
      <c r="N56" s="480"/>
      <c r="O56" s="480"/>
      <c r="P56" s="480"/>
    </row>
    <row r="57" spans="1:16" x14ac:dyDescent="0.3">
      <c r="A57" s="212"/>
      <c r="B57" s="213"/>
      <c r="C57" s="215"/>
      <c r="D57" s="4" t="s">
        <v>76</v>
      </c>
      <c r="E57" s="20" t="s">
        <v>29</v>
      </c>
      <c r="F57" s="20" t="s">
        <v>0</v>
      </c>
      <c r="G57" s="20" t="s">
        <v>2</v>
      </c>
      <c r="H57" s="20" t="s">
        <v>3</v>
      </c>
      <c r="I57" s="20" t="s">
        <v>4</v>
      </c>
      <c r="J57" s="20" t="s">
        <v>5</v>
      </c>
      <c r="K57" s="20" t="s">
        <v>6</v>
      </c>
      <c r="L57" s="20" t="s">
        <v>7</v>
      </c>
      <c r="M57" s="20" t="s">
        <v>8</v>
      </c>
      <c r="N57" s="20" t="s">
        <v>15</v>
      </c>
      <c r="O57" s="20" t="s">
        <v>16</v>
      </c>
      <c r="P57" s="20" t="s">
        <v>30</v>
      </c>
    </row>
    <row r="58" spans="1:16" x14ac:dyDescent="0.3">
      <c r="A58" s="212"/>
      <c r="B58" s="213"/>
      <c r="C58" s="215"/>
      <c r="D58" s="20" t="s">
        <v>11</v>
      </c>
      <c r="E58" s="4" t="s">
        <v>27</v>
      </c>
      <c r="F58" s="4" t="s">
        <v>12</v>
      </c>
      <c r="G58" s="4" t="s">
        <v>27</v>
      </c>
      <c r="H58" s="4" t="s">
        <v>27</v>
      </c>
      <c r="I58" s="4" t="s">
        <v>12</v>
      </c>
      <c r="J58" s="4" t="s">
        <v>79</v>
      </c>
      <c r="K58" s="4" t="s">
        <v>79</v>
      </c>
      <c r="L58" s="4" t="s">
        <v>12</v>
      </c>
      <c r="M58" s="4" t="s">
        <v>12</v>
      </c>
      <c r="N58" s="4" t="s">
        <v>79</v>
      </c>
      <c r="O58" s="4" t="s">
        <v>12</v>
      </c>
      <c r="P58" s="4" t="s">
        <v>27</v>
      </c>
    </row>
    <row r="59" spans="1:16" x14ac:dyDescent="0.3">
      <c r="A59" s="212"/>
      <c r="B59" s="213"/>
      <c r="C59" s="215"/>
      <c r="D59" s="20" t="s">
        <v>9</v>
      </c>
      <c r="E59" s="4" t="s">
        <v>27</v>
      </c>
      <c r="F59" s="4" t="s">
        <v>27</v>
      </c>
      <c r="G59" s="4" t="s">
        <v>27</v>
      </c>
      <c r="H59" s="4" t="s">
        <v>91</v>
      </c>
      <c r="I59" s="4" t="s">
        <v>80</v>
      </c>
      <c r="J59" s="4" t="s">
        <v>91</v>
      </c>
      <c r="K59" s="4" t="s">
        <v>13</v>
      </c>
      <c r="L59" s="4" t="s">
        <v>20</v>
      </c>
      <c r="M59" s="4" t="s">
        <v>14</v>
      </c>
      <c r="N59" s="4" t="s">
        <v>27</v>
      </c>
      <c r="O59" s="4" t="s">
        <v>27</v>
      </c>
      <c r="P59" s="4" t="s">
        <v>27</v>
      </c>
    </row>
    <row r="60" spans="1:16" x14ac:dyDescent="0.3">
      <c r="A60" s="212"/>
      <c r="B60" s="213"/>
      <c r="C60" s="215"/>
      <c r="D60" s="20" t="s">
        <v>1</v>
      </c>
      <c r="E60" s="4" t="s">
        <v>27</v>
      </c>
      <c r="F60" s="4" t="s">
        <v>27</v>
      </c>
      <c r="G60" s="4" t="s">
        <v>27</v>
      </c>
      <c r="H60" s="4" t="s">
        <v>27</v>
      </c>
      <c r="I60" s="4" t="s">
        <v>10</v>
      </c>
      <c r="J60" s="4" t="s">
        <v>75</v>
      </c>
      <c r="K60" s="4" t="s">
        <v>24</v>
      </c>
      <c r="L60" s="4" t="s">
        <v>18</v>
      </c>
      <c r="M60" s="4" t="s">
        <v>27</v>
      </c>
      <c r="N60" s="4" t="s">
        <v>21</v>
      </c>
      <c r="O60" s="4" t="s">
        <v>27</v>
      </c>
      <c r="P60" s="4" t="s">
        <v>27</v>
      </c>
    </row>
    <row r="61" spans="1:16" x14ac:dyDescent="0.3">
      <c r="A61" s="212"/>
      <c r="B61" s="213"/>
      <c r="C61" s="215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</row>
    <row r="62" spans="1:16" x14ac:dyDescent="0.3">
      <c r="A62" s="212"/>
      <c r="B62" s="213"/>
      <c r="C62" s="215"/>
    </row>
    <row r="63" spans="1:16" x14ac:dyDescent="0.3">
      <c r="A63" s="212"/>
      <c r="B63" s="213"/>
      <c r="C63" s="215"/>
      <c r="D63" s="283">
        <f>data_formula_legend!E3</f>
        <v>44786</v>
      </c>
      <c r="E63" s="480" t="s">
        <v>177</v>
      </c>
      <c r="F63" s="480"/>
      <c r="G63" s="480"/>
      <c r="H63" s="480"/>
      <c r="L63" s="482" t="s">
        <v>381</v>
      </c>
      <c r="M63" s="482"/>
      <c r="N63" s="482"/>
      <c r="O63" s="247"/>
    </row>
    <row r="64" spans="1:16" x14ac:dyDescent="0.3">
      <c r="A64" s="212"/>
      <c r="B64" s="213"/>
      <c r="C64" s="215"/>
      <c r="D64" s="11"/>
      <c r="E64" t="s">
        <v>165</v>
      </c>
      <c r="F64" t="s">
        <v>203</v>
      </c>
      <c r="G64" t="s">
        <v>171</v>
      </c>
      <c r="H64" t="s">
        <v>176</v>
      </c>
      <c r="I64" t="s">
        <v>290</v>
      </c>
      <c r="L64" s="1" t="s">
        <v>33</v>
      </c>
      <c r="M64" s="1" t="s">
        <v>174</v>
      </c>
      <c r="N64" s="1" t="s">
        <v>383</v>
      </c>
    </row>
    <row r="65" spans="1:14" x14ac:dyDescent="0.3">
      <c r="A65" s="212"/>
      <c r="B65" s="213"/>
      <c r="C65" s="215"/>
      <c r="D65" s="11"/>
      <c r="E65" t="s">
        <v>455</v>
      </c>
      <c r="F65" t="str">
        <f>INDEX(supplier_information[Address],MATCH(day_1_accommodation[[#This Row],[day_1_accommodation]],supplier_information[Accommodation],0))</f>
        <v>546 Utchee Creek Rd, Mena Creek QLD 4871</v>
      </c>
      <c r="G65" s="219">
        <v>2</v>
      </c>
      <c r="I65" t="str">
        <f>INDEX(supplier_information[Contact number],MATCH(day_1_accommodation[[#This Row],[day_1_accommodation]],supplier_information[Accommodation],0))</f>
        <v>(07) 4065 3409</v>
      </c>
      <c r="L65" s="246" t="s">
        <v>458</v>
      </c>
      <c r="M65" s="245"/>
      <c r="N65" s="244"/>
    </row>
    <row r="66" spans="1:14" x14ac:dyDescent="0.3">
      <c r="A66" s="212"/>
      <c r="B66" s="213"/>
      <c r="C66" s="215"/>
      <c r="D66" s="11"/>
      <c r="E66" t="s">
        <v>321</v>
      </c>
      <c r="F66" t="str">
        <f>INDEX(supplier_information[Address],MATCH(day_1_accommodation[[#This Row],[day_1_accommodation]],supplier_information[Accommodation],0))</f>
        <v>1671 Innisfail Japoon Rd, Mena Creek QLD 4871</v>
      </c>
      <c r="G66" s="219">
        <v>5</v>
      </c>
      <c r="I66" t="str">
        <f>INDEX(supplier_information[Contact number],MATCH(day_1_accommodation[[#This Row],[day_1_accommodation]],supplier_information[Accommodation],0))</f>
        <v>(07) 4065 0000</v>
      </c>
      <c r="L66" s="246" t="s">
        <v>288</v>
      </c>
      <c r="M66" s="245" t="s">
        <v>289</v>
      </c>
      <c r="N66" s="219" t="s">
        <v>319</v>
      </c>
    </row>
    <row r="67" spans="1:14" x14ac:dyDescent="0.3">
      <c r="A67" s="212"/>
      <c r="B67" s="213"/>
      <c r="C67" s="215"/>
      <c r="D67" s="11"/>
      <c r="E67" t="s">
        <v>152</v>
      </c>
      <c r="F67" t="str">
        <f>INDEX(supplier_information[Address],MATCH(day_1_accommodation[[#This Row],[day_1_accommodation]],supplier_information[Accommodation],0))</f>
        <v>1 Mena Creek Rd, Mena Creek QLD 4871</v>
      </c>
      <c r="G67" s="219">
        <v>1</v>
      </c>
      <c r="I67" t="str">
        <f>INDEX(supplier_information[Contact number],MATCH(day_1_accommodation[[#This Row],[day_1_accommodation]],supplier_information[Accommodation],0))</f>
        <v>(07) 4065 3201</v>
      </c>
      <c r="L67" s="246" t="s">
        <v>285</v>
      </c>
      <c r="M67" s="245" t="s">
        <v>286</v>
      </c>
      <c r="N67" s="219" t="s">
        <v>310</v>
      </c>
    </row>
    <row r="68" spans="1:14" x14ac:dyDescent="0.3">
      <c r="A68" s="212"/>
      <c r="B68" s="213"/>
      <c r="C68" s="215"/>
      <c r="D68" s="11"/>
      <c r="G68" s="219"/>
      <c r="L68" s="246" t="s">
        <v>151</v>
      </c>
      <c r="M68" s="245" t="s">
        <v>382</v>
      </c>
      <c r="N68" s="244" t="s">
        <v>384</v>
      </c>
    </row>
    <row r="69" spans="1:14" x14ac:dyDescent="0.3">
      <c r="A69" s="212"/>
      <c r="B69" s="213"/>
      <c r="C69" s="215"/>
      <c r="D69" s="11"/>
      <c r="L69" s="246" t="s">
        <v>459</v>
      </c>
      <c r="M69" s="245" t="s">
        <v>460</v>
      </c>
      <c r="N69" s="244" t="s">
        <v>461</v>
      </c>
    </row>
    <row r="70" spans="1:14" x14ac:dyDescent="0.3">
      <c r="A70" s="212"/>
      <c r="B70" s="213"/>
      <c r="C70" s="215"/>
      <c r="D70" s="283">
        <f>D63+1</f>
        <v>44787</v>
      </c>
      <c r="E70" s="480" t="s">
        <v>201</v>
      </c>
      <c r="F70" s="480"/>
      <c r="G70" s="480"/>
      <c r="H70" s="480"/>
      <c r="L70" s="246" t="s">
        <v>385</v>
      </c>
      <c r="M70" s="245" t="s">
        <v>386</v>
      </c>
      <c r="N70" t="s">
        <v>387</v>
      </c>
    </row>
    <row r="71" spans="1:14" ht="28.8" customHeight="1" x14ac:dyDescent="0.3">
      <c r="A71" s="212"/>
      <c r="B71" s="213"/>
      <c r="C71" s="215"/>
      <c r="D71" s="11"/>
      <c r="E71" t="s">
        <v>202</v>
      </c>
      <c r="F71" t="s">
        <v>204</v>
      </c>
      <c r="G71" t="s">
        <v>171</v>
      </c>
      <c r="H71" t="s">
        <v>176</v>
      </c>
      <c r="I71" t="s">
        <v>290</v>
      </c>
      <c r="K71" s="113"/>
      <c r="L71" s="246" t="s">
        <v>148</v>
      </c>
      <c r="M71" s="245" t="s">
        <v>215</v>
      </c>
      <c r="N71" s="219">
        <v>740980000</v>
      </c>
    </row>
    <row r="72" spans="1:14" x14ac:dyDescent="0.3">
      <c r="A72" s="212"/>
      <c r="B72" s="213"/>
      <c r="C72" s="215"/>
      <c r="D72" s="11"/>
      <c r="E72" t="s">
        <v>151</v>
      </c>
      <c r="F72" t="str">
        <f>INDEX(supplier_information[Address],MATCH(day_2_accommodation[[#This Row],[day_2_accommodation]],supplier_information[Accommodation],0))</f>
        <v>69-71 Queen St, Chillagoe QLD 4871</v>
      </c>
      <c r="G72" s="219">
        <v>2</v>
      </c>
      <c r="I72" t="str">
        <f>INDEX(supplier_information[Contact number],MATCH(day_2_accommodation[[#This Row],[day_2_accommodation]],supplier_information[Accommodation],0))</f>
        <v>(07) 4094 7206</v>
      </c>
      <c r="K72" s="113"/>
      <c r="L72" s="246" t="s">
        <v>281</v>
      </c>
      <c r="M72" s="245" t="s">
        <v>282</v>
      </c>
      <c r="N72" s="219" t="s">
        <v>302</v>
      </c>
    </row>
    <row r="73" spans="1:14" x14ac:dyDescent="0.3">
      <c r="C73" s="218"/>
      <c r="D73" s="11"/>
      <c r="E73" t="s">
        <v>459</v>
      </c>
      <c r="F73" t="str">
        <f>INDEX(supplier_information[Address],MATCH(day_2_accommodation[[#This Row],[day_2_accommodation]],supplier_information[Accommodation],0))</f>
        <v>1 Hospital Ave, Chillagoe QLD 4871</v>
      </c>
      <c r="G73" s="219">
        <v>4</v>
      </c>
      <c r="I73" t="str">
        <f>INDEX(supplier_information[Contact number],MATCH(day_2_accommodation[[#This Row],[day_2_accommodation]],supplier_information[Accommodation],0))</f>
        <v> (07) 4094 7155</v>
      </c>
      <c r="K73" s="113"/>
      <c r="L73" s="246" t="s">
        <v>391</v>
      </c>
      <c r="M73" s="245" t="s">
        <v>392</v>
      </c>
      <c r="N73" s="248" t="s">
        <v>393</v>
      </c>
    </row>
    <row r="74" spans="1:14" x14ac:dyDescent="0.3">
      <c r="C74" s="218"/>
      <c r="D74" s="11"/>
      <c r="E74" t="s">
        <v>385</v>
      </c>
      <c r="F74" t="str">
        <f>INDEX(supplier_information[Address],MATCH(day_2_accommodation[[#This Row],[day_2_accommodation]],supplier_information[Accommodation],0))</f>
        <v>2 Tower St, Chillagoe QLD 4871</v>
      </c>
      <c r="G74" s="219">
        <v>1</v>
      </c>
      <c r="I74" t="str">
        <f>INDEX(supplier_information[Contact number],MATCH(day_2_accommodation[[#This Row],[day_2_accommodation]],supplier_information[Accommodation],0))</f>
        <v>(07) 4094 7168</v>
      </c>
      <c r="L74" s="246" t="s">
        <v>455</v>
      </c>
      <c r="M74" s="245" t="s">
        <v>456</v>
      </c>
      <c r="N74" s="229" t="s">
        <v>457</v>
      </c>
    </row>
    <row r="75" spans="1:14" ht="28.8" customHeight="1" x14ac:dyDescent="0.3">
      <c r="C75" s="218"/>
      <c r="D75" s="11"/>
      <c r="G75" s="219"/>
      <c r="L75" t="s">
        <v>152</v>
      </c>
      <c r="M75" t="s">
        <v>172</v>
      </c>
      <c r="N75" s="229" t="s">
        <v>324</v>
      </c>
    </row>
    <row r="76" spans="1:14" x14ac:dyDescent="0.3">
      <c r="C76" s="218"/>
      <c r="D76" s="283">
        <f>D70+1</f>
        <v>44788</v>
      </c>
      <c r="E76" s="480" t="s">
        <v>212</v>
      </c>
      <c r="F76" s="480"/>
      <c r="G76" s="480"/>
      <c r="H76" s="480"/>
      <c r="L76" s="246" t="s">
        <v>278</v>
      </c>
      <c r="M76" s="245" t="s">
        <v>279</v>
      </c>
      <c r="N76" s="219" t="s">
        <v>298</v>
      </c>
    </row>
    <row r="77" spans="1:14" x14ac:dyDescent="0.3">
      <c r="C77" s="218"/>
      <c r="D77" s="11"/>
      <c r="E77" t="s">
        <v>213</v>
      </c>
      <c r="F77" t="s">
        <v>214</v>
      </c>
      <c r="G77" t="s">
        <v>171</v>
      </c>
      <c r="H77" t="s">
        <v>176</v>
      </c>
      <c r="I77" t="s">
        <v>290</v>
      </c>
      <c r="L77" s="246" t="s">
        <v>278</v>
      </c>
      <c r="M77" s="245" t="s">
        <v>279</v>
      </c>
      <c r="N77" t="s">
        <v>298</v>
      </c>
    </row>
    <row r="78" spans="1:14" ht="28.8" x14ac:dyDescent="0.3">
      <c r="C78" s="218"/>
      <c r="D78" s="11"/>
      <c r="E78" t="s">
        <v>148</v>
      </c>
      <c r="F78" t="str">
        <f>INDEX(supplier_information[Address],MATCH(day_3_accommodation[[#This Row],[day_3_accommodation]],supplier_information[Accommodation],0))</f>
        <v>36 Camelot Close Cape Tribulation</v>
      </c>
      <c r="G78" s="219">
        <v>7</v>
      </c>
      <c r="I78" s="219">
        <f>INDEX(supplier_information[Contact number],MATCH(day_3_accommodation[[#This Row],[day_3_accommodation]],supplier_information[Accommodation],0))</f>
        <v>740980000</v>
      </c>
      <c r="L78" s="246" t="s">
        <v>388</v>
      </c>
      <c r="M78" s="245" t="s">
        <v>389</v>
      </c>
      <c r="N78" s="248" t="s">
        <v>390</v>
      </c>
    </row>
    <row r="79" spans="1:14" x14ac:dyDescent="0.3">
      <c r="C79" s="218"/>
      <c r="D79" s="11"/>
      <c r="E79" t="s">
        <v>458</v>
      </c>
      <c r="F79">
        <f>INDEX(supplier_information[Address],MATCH(day_3_accommodation[[#This Row],[day_3_accommodation]],supplier_information[Accommodation],0))</f>
        <v>0</v>
      </c>
      <c r="G79" s="219">
        <v>4</v>
      </c>
      <c r="I79">
        <f>INDEX(supplier_information[Contact number],MATCH(day_3_accommodation[[#This Row],[day_3_accommodation]],supplier_information[Accommodation],0))</f>
        <v>0</v>
      </c>
      <c r="L79" t="s">
        <v>321</v>
      </c>
      <c r="M79" t="s">
        <v>323</v>
      </c>
      <c r="N79" s="229" t="s">
        <v>322</v>
      </c>
    </row>
    <row r="80" spans="1:14" x14ac:dyDescent="0.3">
      <c r="C80" s="218"/>
      <c r="D80" s="11"/>
      <c r="E80" t="s">
        <v>458</v>
      </c>
      <c r="F80">
        <f>INDEX(supplier_information[Address],MATCH(day_3_accommodation[[#This Row],[day_3_accommodation]],supplier_information[Accommodation],0))</f>
        <v>0</v>
      </c>
      <c r="G80" s="219">
        <v>0</v>
      </c>
      <c r="I80">
        <f>INDEX(supplier_information[Contact number],MATCH(day_3_accommodation[[#This Row],[day_3_accommodation]],supplier_information[Accommodation],0))</f>
        <v>0</v>
      </c>
      <c r="L80" s="246" t="s">
        <v>150</v>
      </c>
      <c r="M80" s="245" t="s">
        <v>287</v>
      </c>
      <c r="N80" s="219" t="s">
        <v>311</v>
      </c>
    </row>
    <row r="81" spans="3:14" x14ac:dyDescent="0.3">
      <c r="C81" s="218"/>
      <c r="D81" s="11"/>
      <c r="G81" s="219"/>
      <c r="L81" s="246" t="s">
        <v>462</v>
      </c>
      <c r="M81" s="245" t="s">
        <v>463</v>
      </c>
      <c r="N81" s="229" t="s">
        <v>464</v>
      </c>
    </row>
    <row r="82" spans="3:14" x14ac:dyDescent="0.3">
      <c r="C82" s="218"/>
      <c r="D82" s="283">
        <f>D76+1</f>
        <v>44789</v>
      </c>
      <c r="E82" s="480" t="s">
        <v>217</v>
      </c>
      <c r="F82" s="480"/>
      <c r="G82" s="480"/>
      <c r="H82" s="480"/>
      <c r="L82" s="246" t="s">
        <v>283</v>
      </c>
      <c r="M82" s="245" t="s">
        <v>284</v>
      </c>
      <c r="N82" s="219" t="s">
        <v>309</v>
      </c>
    </row>
    <row r="83" spans="3:14" x14ac:dyDescent="0.3">
      <c r="C83" s="218"/>
      <c r="D83" s="11"/>
      <c r="E83" t="s">
        <v>218</v>
      </c>
      <c r="F83" t="s">
        <v>219</v>
      </c>
      <c r="G83" t="s">
        <v>171</v>
      </c>
      <c r="H83" t="s">
        <v>176</v>
      </c>
      <c r="I83" t="s">
        <v>290</v>
      </c>
      <c r="L83" t="s">
        <v>326</v>
      </c>
      <c r="M83" t="s">
        <v>325</v>
      </c>
      <c r="N83" t="s">
        <v>322</v>
      </c>
    </row>
    <row r="84" spans="3:14" x14ac:dyDescent="0.3">
      <c r="C84" s="218"/>
      <c r="D84" s="11"/>
      <c r="E84" t="s">
        <v>278</v>
      </c>
      <c r="F84" t="str">
        <f>INDEX(supplier_information[Address],MATCH(day_4_accommodation[[#This Row],[day_4_accommodation]],supplier_information[Accommodation],0))</f>
        <v>Annan Rd, Cooktown QLD 4895</v>
      </c>
      <c r="G84" s="219">
        <v>4</v>
      </c>
      <c r="I84" t="str">
        <f>INDEX(supplier_information[Contact number],MATCH(day_4_accommodation[[#This Row],[day_4_accommodation]],supplier_information[Accommodation],0))</f>
        <v>(07) 4069 5007</v>
      </c>
      <c r="L84" s="246" t="s">
        <v>149</v>
      </c>
      <c r="M84" s="245" t="s">
        <v>280</v>
      </c>
      <c r="N84" s="219">
        <v>429175980</v>
      </c>
    </row>
    <row r="85" spans="3:14" x14ac:dyDescent="0.3">
      <c r="C85" s="218"/>
      <c r="D85" s="11"/>
      <c r="E85" t="s">
        <v>462</v>
      </c>
      <c r="F85" t="str">
        <f>INDEX(supplier_information[Address],MATCH(day_4_accommodation[[#This Row],[day_4_accommodation]],supplier_information[Accommodation],0))</f>
        <v xml:space="preserve"> Hope St &amp; Walker Streets, Cooktown QLD 4895</v>
      </c>
      <c r="G85" s="219">
        <v>4</v>
      </c>
      <c r="I85" t="str">
        <f>INDEX(supplier_information[Contact number],MATCH(day_4_accommodation[[#This Row],[day_4_accommodation]],supplier_information[Accommodation],0))</f>
        <v>(07) 4069 5222</v>
      </c>
      <c r="L85" s="246" t="s">
        <v>465</v>
      </c>
      <c r="M85" s="245" t="s">
        <v>466</v>
      </c>
      <c r="N85" s="229" t="s">
        <v>467</v>
      </c>
    </row>
    <row r="86" spans="3:14" x14ac:dyDescent="0.3">
      <c r="C86" s="218"/>
      <c r="D86" s="11"/>
      <c r="E86" t="s">
        <v>458</v>
      </c>
      <c r="F86">
        <f>INDEX(supplier_information[Address],MATCH(day_4_accommodation[[#This Row],[day_4_accommodation]],supplier_information[Accommodation],0))</f>
        <v>0</v>
      </c>
      <c r="G86" s="219">
        <v>0</v>
      </c>
      <c r="I86">
        <f>INDEX(supplier_information[Contact number],MATCH(day_4_accommodation[[#This Row],[day_4_accommodation]],supplier_information[Accommodation],0))</f>
        <v>0</v>
      </c>
    </row>
    <row r="87" spans="3:14" x14ac:dyDescent="0.3">
      <c r="C87" s="218"/>
      <c r="D87" s="11"/>
    </row>
    <row r="88" spans="3:14" x14ac:dyDescent="0.3">
      <c r="C88" s="218"/>
      <c r="D88" s="283">
        <f>D82+1</f>
        <v>44790</v>
      </c>
      <c r="E88" s="480" t="s">
        <v>220</v>
      </c>
      <c r="F88" s="480"/>
      <c r="G88" s="480"/>
      <c r="H88" s="480"/>
    </row>
    <row r="89" spans="3:14" x14ac:dyDescent="0.3">
      <c r="C89" s="218"/>
      <c r="D89" s="11"/>
      <c r="E89" t="s">
        <v>221</v>
      </c>
      <c r="F89" t="s">
        <v>222</v>
      </c>
      <c r="G89" t="s">
        <v>171</v>
      </c>
      <c r="H89" t="s">
        <v>176</v>
      </c>
      <c r="I89" t="s">
        <v>290</v>
      </c>
    </row>
    <row r="90" spans="3:14" x14ac:dyDescent="0.3">
      <c r="C90" s="218"/>
      <c r="D90" s="11"/>
      <c r="E90" t="s">
        <v>149</v>
      </c>
      <c r="F90" t="str">
        <f>INDEX(supplier_information[Address],MATCH(day_5_accommodation[[#This Row],[day_5_accommodation]],supplier_information[Accommodation],0))</f>
        <v>Wolverton Station, Archer River QLD 4892</v>
      </c>
      <c r="G90" s="219">
        <v>10</v>
      </c>
      <c r="I90">
        <f>INDEX(supplier_information[Contact number],MATCH(day_5_accommodation[[#This Row],[day_5_accommodation]],supplier_information[Accommodation],0))</f>
        <v>429175980</v>
      </c>
    </row>
    <row r="91" spans="3:14" x14ac:dyDescent="0.3">
      <c r="C91" s="218"/>
      <c r="D91" s="11"/>
      <c r="E91" t="s">
        <v>458</v>
      </c>
      <c r="F91">
        <f>INDEX(supplier_information[Address],MATCH(day_5_accommodation[[#This Row],[day_5_accommodation]],supplier_information[Accommodation],0))</f>
        <v>0</v>
      </c>
      <c r="G91" s="219">
        <v>0</v>
      </c>
      <c r="I91">
        <f>INDEX(supplier_information[Contact number],MATCH(day_5_accommodation[[#This Row],[day_5_accommodation]],supplier_information[Accommodation],0))</f>
        <v>0</v>
      </c>
    </row>
    <row r="92" spans="3:14" x14ac:dyDescent="0.3">
      <c r="C92" s="218"/>
      <c r="D92" s="11"/>
      <c r="E92" t="s">
        <v>458</v>
      </c>
      <c r="F92">
        <f>INDEX(supplier_information[Address],MATCH(day_5_accommodation[[#This Row],[day_5_accommodation]],supplier_information[Accommodation],0))</f>
        <v>0</v>
      </c>
      <c r="G92" s="219">
        <v>0</v>
      </c>
      <c r="I92">
        <f>INDEX(supplier_information[Contact number],MATCH(day_5_accommodation[[#This Row],[day_5_accommodation]],supplier_information[Accommodation],0))</f>
        <v>0</v>
      </c>
    </row>
    <row r="93" spans="3:14" x14ac:dyDescent="0.3">
      <c r="C93" s="218"/>
      <c r="D93" s="11"/>
      <c r="G93" s="219"/>
    </row>
    <row r="94" spans="3:14" x14ac:dyDescent="0.3">
      <c r="C94" s="218"/>
      <c r="D94" s="283">
        <f>D88+1</f>
        <v>44791</v>
      </c>
      <c r="E94" s="480" t="s">
        <v>223</v>
      </c>
      <c r="F94" s="480"/>
      <c r="G94" s="480"/>
      <c r="H94" s="480"/>
    </row>
    <row r="95" spans="3:14" x14ac:dyDescent="0.3">
      <c r="C95" s="218"/>
      <c r="D95" s="11"/>
      <c r="E95" t="s">
        <v>224</v>
      </c>
      <c r="F95" t="s">
        <v>225</v>
      </c>
      <c r="G95" t="s">
        <v>171</v>
      </c>
      <c r="H95" t="s">
        <v>176</v>
      </c>
      <c r="I95" t="s">
        <v>290</v>
      </c>
    </row>
    <row r="96" spans="3:14" x14ac:dyDescent="0.3">
      <c r="C96" s="218"/>
      <c r="D96" s="11"/>
      <c r="E96" t="s">
        <v>281</v>
      </c>
      <c r="F96" t="str">
        <f>INDEX(supplier_information[Address],MATCH(day_6_accommodation[[#This Row],[day_6_accommodation]],supplier_information[Accommodation],0))</f>
        <v>161 Lockhart River Rd, Lockhart River QLD 4892</v>
      </c>
      <c r="G96" s="219">
        <v>7</v>
      </c>
      <c r="I96" t="str">
        <f>INDEX(supplier_information[Contact number],MATCH(day_6_accommodation[[#This Row],[day_6_accommodation]],supplier_information[Accommodation],0))</f>
        <v>(07) 4060 7067</v>
      </c>
    </row>
    <row r="97" spans="3:9" x14ac:dyDescent="0.3">
      <c r="C97" s="218"/>
      <c r="D97" s="11"/>
      <c r="E97" t="s">
        <v>458</v>
      </c>
      <c r="F97">
        <f>INDEX(supplier_information[Address],MATCH(day_6_accommodation[[#This Row],[day_6_accommodation]],supplier_information[Accommodation],0))</f>
        <v>0</v>
      </c>
      <c r="G97" s="219">
        <v>0</v>
      </c>
      <c r="I97">
        <f>INDEX(supplier_information[Contact number],MATCH(day_6_accommodation[[#This Row],[day_6_accommodation]],supplier_information[Accommodation],0))</f>
        <v>0</v>
      </c>
    </row>
    <row r="98" spans="3:9" x14ac:dyDescent="0.3">
      <c r="C98" s="218"/>
      <c r="D98" s="11"/>
      <c r="E98" t="s">
        <v>458</v>
      </c>
      <c r="F98">
        <f>INDEX(supplier_information[Address],MATCH(day_6_accommodation[[#This Row],[day_6_accommodation]],supplier_information[Accommodation],0))</f>
        <v>0</v>
      </c>
      <c r="G98" s="219">
        <v>0</v>
      </c>
      <c r="I98">
        <f>INDEX(supplier_information[Contact number],MATCH(day_6_accommodation[[#This Row],[day_6_accommodation]],supplier_information[Accommodation],0))</f>
        <v>0</v>
      </c>
    </row>
    <row r="99" spans="3:9" x14ac:dyDescent="0.3">
      <c r="C99" s="218"/>
      <c r="D99" s="11"/>
      <c r="E99" t="s">
        <v>458</v>
      </c>
      <c r="F99">
        <f>INDEX(supplier_information[Address],MATCH(day_6_accommodation[[#This Row],[day_6_accommodation]],supplier_information[Accommodation],0))</f>
        <v>0</v>
      </c>
      <c r="G99" s="219">
        <v>0</v>
      </c>
      <c r="I99">
        <f>INDEX(supplier_information[Contact number],MATCH(day_6_accommodation[[#This Row],[day_6_accommodation]],supplier_information[Accommodation],0))</f>
        <v>0</v>
      </c>
    </row>
    <row r="100" spans="3:9" x14ac:dyDescent="0.3">
      <c r="C100" s="218"/>
      <c r="D100" s="11"/>
    </row>
    <row r="101" spans="3:9" x14ac:dyDescent="0.3">
      <c r="C101" s="218"/>
      <c r="D101" s="283">
        <f>D94+1</f>
        <v>44792</v>
      </c>
      <c r="E101" s="480" t="s">
        <v>226</v>
      </c>
      <c r="F101" s="480"/>
      <c r="G101" s="480"/>
      <c r="H101" s="480"/>
    </row>
    <row r="102" spans="3:9" x14ac:dyDescent="0.3">
      <c r="C102" s="218"/>
      <c r="D102" s="11"/>
      <c r="E102" t="s">
        <v>227</v>
      </c>
      <c r="F102" t="s">
        <v>228</v>
      </c>
      <c r="G102" t="s">
        <v>171</v>
      </c>
      <c r="H102" t="s">
        <v>176</v>
      </c>
      <c r="I102" t="s">
        <v>290</v>
      </c>
    </row>
    <row r="103" spans="3:9" x14ac:dyDescent="0.3">
      <c r="C103" s="218"/>
      <c r="D103" s="11"/>
      <c r="E103" t="s">
        <v>281</v>
      </c>
      <c r="F103" t="str">
        <f>INDEX(supplier_information[Address],MATCH(day_7_accommodation[[#This Row],[day_7_accommodation]],supplier_information[Accommodation],0))</f>
        <v>161 Lockhart River Rd, Lockhart River QLD 4892</v>
      </c>
      <c r="G103" s="219">
        <v>7</v>
      </c>
      <c r="I103" t="str">
        <f>INDEX(supplier_information[Contact number],MATCH(day_7_accommodation[[#This Row],[day_7_accommodation]],supplier_information[Accommodation],0))</f>
        <v>(07) 4060 7067</v>
      </c>
    </row>
    <row r="104" spans="3:9" x14ac:dyDescent="0.3">
      <c r="C104" s="218"/>
      <c r="D104" s="11"/>
      <c r="E104" t="s">
        <v>458</v>
      </c>
      <c r="F104">
        <f>INDEX(supplier_information[Address],MATCH(day_7_accommodation[[#This Row],[day_7_accommodation]],supplier_information[Accommodation],0))</f>
        <v>0</v>
      </c>
      <c r="G104" s="219">
        <v>0</v>
      </c>
      <c r="I104">
        <f>INDEX(supplier_information[Contact number],MATCH(day_7_accommodation[[#This Row],[day_7_accommodation]],supplier_information[Accommodation],0))</f>
        <v>0</v>
      </c>
    </row>
    <row r="105" spans="3:9" x14ac:dyDescent="0.3">
      <c r="C105" s="218"/>
      <c r="D105" s="11"/>
      <c r="E105" t="s">
        <v>458</v>
      </c>
      <c r="F105">
        <f>INDEX(supplier_information[Address],MATCH(day_7_accommodation[[#This Row],[day_7_accommodation]],supplier_information[Accommodation],0))</f>
        <v>0</v>
      </c>
      <c r="G105" s="219">
        <v>0</v>
      </c>
      <c r="I105">
        <f>INDEX(supplier_information[Contact number],MATCH(day_7_accommodation[[#This Row],[day_7_accommodation]],supplier_information[Accommodation],0))</f>
        <v>0</v>
      </c>
    </row>
    <row r="106" spans="3:9" x14ac:dyDescent="0.3">
      <c r="C106" s="218"/>
      <c r="D106" s="11"/>
      <c r="E106" t="s">
        <v>458</v>
      </c>
      <c r="F106">
        <f>INDEX(supplier_information[Address],MATCH(day_7_accommodation[[#This Row],[day_7_accommodation]],supplier_information[Accommodation],0))</f>
        <v>0</v>
      </c>
      <c r="G106" s="219">
        <v>0</v>
      </c>
      <c r="I106">
        <f>INDEX(supplier_information[Contact number],MATCH(day_7_accommodation[[#This Row],[day_7_accommodation]],supplier_information[Accommodation],0))</f>
        <v>0</v>
      </c>
    </row>
    <row r="107" spans="3:9" x14ac:dyDescent="0.3">
      <c r="C107" s="218"/>
      <c r="D107" s="11"/>
    </row>
    <row r="108" spans="3:9" x14ac:dyDescent="0.3">
      <c r="C108" s="218"/>
      <c r="D108" s="283">
        <f>D101+1</f>
        <v>44793</v>
      </c>
      <c r="E108" s="480" t="s">
        <v>231</v>
      </c>
      <c r="F108" s="480"/>
      <c r="G108" s="480"/>
      <c r="H108" s="480"/>
    </row>
    <row r="109" spans="3:9" x14ac:dyDescent="0.3">
      <c r="C109" s="218"/>
      <c r="D109" s="11"/>
      <c r="E109" t="s">
        <v>229</v>
      </c>
      <c r="F109" t="s">
        <v>230</v>
      </c>
      <c r="G109" t="s">
        <v>171</v>
      </c>
      <c r="H109" t="s">
        <v>176</v>
      </c>
      <c r="I109" t="s">
        <v>290</v>
      </c>
    </row>
    <row r="110" spans="3:9" x14ac:dyDescent="0.3">
      <c r="C110" s="218"/>
      <c r="D110" s="11"/>
      <c r="E110" t="s">
        <v>285</v>
      </c>
      <c r="F110" t="str">
        <f>INDEX(supplier_information[Address],MATCH(day_8_accommodation[[#This Row],[day_8_accommodation]],supplier_information[Accommodation],0))</f>
        <v>Bramwell Jct, Shelburne QLD 4874</v>
      </c>
      <c r="G110" s="219">
        <v>7</v>
      </c>
      <c r="I110" t="str">
        <f>INDEX(supplier_information[Contact number],MATCH(day_8_accommodation[[#This Row],[day_8_accommodation]],supplier_information[Accommodation],0))</f>
        <v>07 4060 3230</v>
      </c>
    </row>
    <row r="111" spans="3:9" x14ac:dyDescent="0.3">
      <c r="C111" s="218"/>
      <c r="D111" s="11"/>
      <c r="E111" t="s">
        <v>458</v>
      </c>
      <c r="F111">
        <f>INDEX(supplier_information[Address],MATCH(day_8_accommodation[[#This Row],[day_8_accommodation]],supplier_information[Accommodation],0))</f>
        <v>0</v>
      </c>
      <c r="G111" s="219">
        <v>0</v>
      </c>
      <c r="I111">
        <f>INDEX(supplier_information[Contact number],MATCH(day_8_accommodation[[#This Row],[day_8_accommodation]],supplier_information[Accommodation],0))</f>
        <v>0</v>
      </c>
    </row>
    <row r="112" spans="3:9" x14ac:dyDescent="0.3">
      <c r="C112" s="218"/>
      <c r="D112" s="11"/>
      <c r="E112" t="s">
        <v>458</v>
      </c>
      <c r="F112">
        <f>INDEX(supplier_information[Address],MATCH(day_8_accommodation[[#This Row],[day_8_accommodation]],supplier_information[Accommodation],0))</f>
        <v>0</v>
      </c>
      <c r="G112" s="219">
        <v>0</v>
      </c>
      <c r="I112">
        <f>INDEX(supplier_information[Contact number],MATCH(day_8_accommodation[[#This Row],[day_8_accommodation]],supplier_information[Accommodation],0))</f>
        <v>0</v>
      </c>
    </row>
    <row r="113" spans="3:9" x14ac:dyDescent="0.3">
      <c r="C113" s="218"/>
      <c r="D113" s="11"/>
      <c r="E113" t="s">
        <v>458</v>
      </c>
      <c r="F113">
        <f>INDEX(supplier_information[Address],MATCH(day_8_accommodation[[#This Row],[day_8_accommodation]],supplier_information[Accommodation],0))</f>
        <v>0</v>
      </c>
      <c r="G113" s="219">
        <v>0</v>
      </c>
      <c r="I113">
        <f>INDEX(supplier_information[Contact number],MATCH(day_8_accommodation[[#This Row],[day_8_accommodation]],supplier_information[Accommodation],0))</f>
        <v>0</v>
      </c>
    </row>
    <row r="114" spans="3:9" x14ac:dyDescent="0.3">
      <c r="C114" s="218"/>
      <c r="D114" s="11"/>
      <c r="E114" s="145"/>
    </row>
    <row r="115" spans="3:9" x14ac:dyDescent="0.3">
      <c r="C115" s="218"/>
      <c r="D115" s="11"/>
      <c r="E115" s="145"/>
    </row>
    <row r="116" spans="3:9" x14ac:dyDescent="0.3">
      <c r="C116" s="218"/>
      <c r="D116" s="283">
        <f>D108+1</f>
        <v>44794</v>
      </c>
      <c r="E116" s="480" t="s">
        <v>232</v>
      </c>
      <c r="F116" s="480"/>
      <c r="G116" s="480"/>
      <c r="H116" s="480"/>
    </row>
    <row r="117" spans="3:9" x14ac:dyDescent="0.3">
      <c r="C117" s="218"/>
      <c r="D117" s="11"/>
      <c r="E117" t="s">
        <v>233</v>
      </c>
      <c r="F117" t="s">
        <v>234</v>
      </c>
      <c r="G117" t="s">
        <v>171</v>
      </c>
      <c r="H117" t="s">
        <v>176</v>
      </c>
      <c r="I117" t="s">
        <v>290</v>
      </c>
    </row>
    <row r="118" spans="3:9" x14ac:dyDescent="0.3">
      <c r="C118" s="218"/>
      <c r="D118" s="11"/>
      <c r="E118" t="s">
        <v>150</v>
      </c>
      <c r="F118" t="str">
        <f>INDEX(supplier_information[Address],MATCH(day_9_accommodation[[#This Row],[day_9_accommodation]],supplier_information[Accommodation],0))</f>
        <v>Lot 11 Punsand Bay via Bamaga QLD 4876</v>
      </c>
      <c r="G118" s="219">
        <v>7</v>
      </c>
      <c r="I118" t="str">
        <f>INDEX(supplier_information[Contact number],MATCH(day_9_accommodation[[#This Row],[day_9_accommodation]],supplier_information[Accommodation],0))</f>
        <v>(07) 4069 1722</v>
      </c>
    </row>
    <row r="119" spans="3:9" x14ac:dyDescent="0.3">
      <c r="C119" s="218"/>
      <c r="D119" s="11"/>
      <c r="E119" t="s">
        <v>458</v>
      </c>
      <c r="F119">
        <f>INDEX(supplier_information[Address],MATCH(day_9_accommodation[[#This Row],[day_9_accommodation]],supplier_information[Accommodation],0))</f>
        <v>0</v>
      </c>
      <c r="G119" s="219">
        <v>0</v>
      </c>
      <c r="I119">
        <f>INDEX(supplier_information[Contact number],MATCH(day_9_accommodation[[#This Row],[day_9_accommodation]],supplier_information[Accommodation],0))</f>
        <v>0</v>
      </c>
    </row>
    <row r="120" spans="3:9" x14ac:dyDescent="0.3">
      <c r="C120" s="218"/>
      <c r="D120" s="11"/>
      <c r="E120" t="s">
        <v>458</v>
      </c>
      <c r="F120">
        <f>INDEX(supplier_information[Address],MATCH(day_9_accommodation[[#This Row],[day_9_accommodation]],supplier_information[Accommodation],0))</f>
        <v>0</v>
      </c>
      <c r="G120" s="219">
        <v>0</v>
      </c>
      <c r="I120">
        <f>INDEX(supplier_information[Contact number],MATCH(day_9_accommodation[[#This Row],[day_9_accommodation]],supplier_information[Accommodation],0))</f>
        <v>0</v>
      </c>
    </row>
    <row r="121" spans="3:9" x14ac:dyDescent="0.3">
      <c r="C121" s="218"/>
      <c r="D121" s="11"/>
      <c r="E121" t="s">
        <v>458</v>
      </c>
      <c r="F121">
        <f>INDEX(supplier_information[Address],MATCH(day_9_accommodation[[#This Row],[day_9_accommodation]],supplier_information[Accommodation],0))</f>
        <v>0</v>
      </c>
      <c r="G121" s="219">
        <v>0</v>
      </c>
      <c r="I121">
        <f>INDEX(supplier_information[Contact number],MATCH(day_9_accommodation[[#This Row],[day_9_accommodation]],supplier_information[Accommodation],0))</f>
        <v>0</v>
      </c>
    </row>
    <row r="122" spans="3:9" x14ac:dyDescent="0.3">
      <c r="C122" s="218"/>
      <c r="D122" s="11"/>
    </row>
    <row r="123" spans="3:9" x14ac:dyDescent="0.3">
      <c r="C123" s="218"/>
      <c r="D123" s="283">
        <f>D116+1</f>
        <v>44795</v>
      </c>
      <c r="E123" s="480" t="s">
        <v>235</v>
      </c>
      <c r="F123" s="480"/>
      <c r="G123" s="480"/>
      <c r="H123" s="480"/>
    </row>
    <row r="124" spans="3:9" x14ac:dyDescent="0.3">
      <c r="C124" s="218"/>
      <c r="D124" s="11"/>
      <c r="E124" t="s">
        <v>236</v>
      </c>
      <c r="F124" t="s">
        <v>237</v>
      </c>
      <c r="G124" t="s">
        <v>171</v>
      </c>
      <c r="H124" t="s">
        <v>176</v>
      </c>
      <c r="I124" t="s">
        <v>290</v>
      </c>
    </row>
    <row r="125" spans="3:9" x14ac:dyDescent="0.3">
      <c r="C125" s="218"/>
      <c r="D125" s="11"/>
      <c r="E125" t="s">
        <v>150</v>
      </c>
      <c r="F125" t="str">
        <f>INDEX(supplier_information[Address],MATCH(day_10_accommodation[[#This Row],[day_10_accommodation]],supplier_information[Accommodation],0))</f>
        <v>Lot 11 Punsand Bay via Bamaga QLD 4876</v>
      </c>
      <c r="G125" s="219">
        <v>7</v>
      </c>
      <c r="I125" t="str">
        <f>INDEX(supplier_information[Contact number],MATCH(day_10_accommodation[[#This Row],[day_10_accommodation]],supplier_information[Accommodation],0))</f>
        <v>(07) 4069 1722</v>
      </c>
    </row>
    <row r="126" spans="3:9" x14ac:dyDescent="0.3">
      <c r="C126" s="218"/>
      <c r="D126" s="11"/>
      <c r="E126" t="s">
        <v>458</v>
      </c>
      <c r="F126">
        <f>INDEX(supplier_information[Address],MATCH(day_10_accommodation[[#This Row],[day_10_accommodation]],supplier_information[Accommodation],0))</f>
        <v>0</v>
      </c>
      <c r="G126" s="219">
        <v>0</v>
      </c>
      <c r="I126">
        <f>INDEX(supplier_information[Contact number],MATCH(day_10_accommodation[[#This Row],[day_10_accommodation]],supplier_information[Accommodation],0))</f>
        <v>0</v>
      </c>
    </row>
    <row r="127" spans="3:9" x14ac:dyDescent="0.3">
      <c r="C127" s="218"/>
      <c r="D127" s="11"/>
      <c r="E127" t="s">
        <v>458</v>
      </c>
      <c r="F127">
        <f>INDEX(supplier_information[Address],MATCH(day_10_accommodation[[#This Row],[day_10_accommodation]],supplier_information[Accommodation],0))</f>
        <v>0</v>
      </c>
      <c r="G127" s="219">
        <v>0</v>
      </c>
      <c r="I127">
        <f>INDEX(supplier_information[Contact number],MATCH(day_10_accommodation[[#This Row],[day_10_accommodation]],supplier_information[Accommodation],0))</f>
        <v>0</v>
      </c>
    </row>
    <row r="128" spans="3:9" x14ac:dyDescent="0.3">
      <c r="C128" s="218"/>
      <c r="D128" s="11"/>
      <c r="E128" t="s">
        <v>458</v>
      </c>
      <c r="F128">
        <f>INDEX(supplier_information[Address],MATCH(day_10_accommodation[[#This Row],[day_10_accommodation]],supplier_information[Accommodation],0))</f>
        <v>0</v>
      </c>
      <c r="G128" s="219">
        <v>0</v>
      </c>
      <c r="I128">
        <f>INDEX(supplier_information[Contact number],MATCH(day_10_accommodation[[#This Row],[day_10_accommodation]],supplier_information[Accommodation],0))</f>
        <v>0</v>
      </c>
    </row>
    <row r="129" spans="1:9" x14ac:dyDescent="0.3">
      <c r="C129" s="218"/>
    </row>
    <row r="130" spans="1:9" x14ac:dyDescent="0.3">
      <c r="C130" s="218"/>
      <c r="D130" s="284">
        <f>D123+1</f>
        <v>44796</v>
      </c>
      <c r="E130" s="480" t="s">
        <v>238</v>
      </c>
      <c r="F130" s="480"/>
      <c r="G130" s="480"/>
      <c r="H130" s="480"/>
    </row>
    <row r="131" spans="1:9" x14ac:dyDescent="0.3">
      <c r="C131" s="218"/>
      <c r="E131" t="s">
        <v>239</v>
      </c>
      <c r="F131" t="s">
        <v>240</v>
      </c>
      <c r="G131" t="s">
        <v>171</v>
      </c>
      <c r="H131" t="s">
        <v>176</v>
      </c>
      <c r="I131" t="s">
        <v>290</v>
      </c>
    </row>
    <row r="132" spans="1:9" x14ac:dyDescent="0.3">
      <c r="C132" s="218"/>
      <c r="E132" t="s">
        <v>465</v>
      </c>
      <c r="F132" t="str">
        <f>INDEX(supplier_information[Address],MATCH(day_11_accommodation[[#This Row],[day_11_accommodation]],supplier_information[Accommodation],0))</f>
        <v>295 Sheridan St, Cairns City QLD 4870</v>
      </c>
      <c r="G132" s="219">
        <v>6</v>
      </c>
      <c r="I132" t="str">
        <f>INDEX(supplier_information[Contact number],MATCH(day_11_accommodation[[#This Row],[day_11_accommodation]],supplier_information[Accommodation],0))</f>
        <v>(07) 4255 9000</v>
      </c>
    </row>
    <row r="133" spans="1:9" x14ac:dyDescent="0.3">
      <c r="C133" s="218"/>
      <c r="E133" t="s">
        <v>458</v>
      </c>
      <c r="F133">
        <f>INDEX(supplier_information[Address],MATCH(day_11_accommodation[[#This Row],[day_11_accommodation]],supplier_information[Accommodation],0))</f>
        <v>0</v>
      </c>
      <c r="G133" s="219">
        <v>0</v>
      </c>
      <c r="I133">
        <f>INDEX(supplier_information[Contact number],MATCH(day_11_accommodation[[#This Row],[day_11_accommodation]],supplier_information[Accommodation],0))</f>
        <v>0</v>
      </c>
    </row>
    <row r="134" spans="1:9" x14ac:dyDescent="0.3">
      <c r="C134" s="218"/>
      <c r="E134" t="s">
        <v>458</v>
      </c>
      <c r="F134">
        <f>INDEX(supplier_information[Address],MATCH(day_11_accommodation[[#This Row],[day_11_accommodation]],supplier_information[Accommodation],0))</f>
        <v>0</v>
      </c>
      <c r="G134" s="219">
        <v>0</v>
      </c>
      <c r="I134">
        <f>INDEX(supplier_information[Contact number],MATCH(day_11_accommodation[[#This Row],[day_11_accommodation]],supplier_information[Accommodation],0))</f>
        <v>0</v>
      </c>
    </row>
    <row r="135" spans="1:9" x14ac:dyDescent="0.3">
      <c r="C135" s="218"/>
      <c r="E135" t="s">
        <v>458</v>
      </c>
      <c r="F135">
        <f>INDEX(supplier_information[Address],MATCH(day_11_accommodation[[#This Row],[day_11_accommodation]],supplier_information[Accommodation],0))</f>
        <v>0</v>
      </c>
      <c r="G135" s="219">
        <v>0</v>
      </c>
      <c r="I135">
        <f>INDEX(supplier_information[Contact number],MATCH(day_11_accommodation[[#This Row],[day_11_accommodation]],supplier_information[Accommodation],0))</f>
        <v>0</v>
      </c>
    </row>
    <row r="136" spans="1:9" x14ac:dyDescent="0.3">
      <c r="C136" s="218"/>
    </row>
    <row r="137" spans="1:9" s="62" customFormat="1" x14ac:dyDescent="0.3">
      <c r="A137" s="216"/>
      <c r="B137" s="217"/>
      <c r="C137" s="218"/>
      <c r="D137" s="481" t="s">
        <v>339</v>
      </c>
      <c r="E137" s="481"/>
      <c r="F137" s="481"/>
      <c r="G137" s="481"/>
      <c r="H137" s="481"/>
    </row>
    <row r="138" spans="1:9" x14ac:dyDescent="0.3">
      <c r="C138" s="218"/>
    </row>
    <row r="139" spans="1:9" x14ac:dyDescent="0.3">
      <c r="C139" s="218"/>
      <c r="E139" s="405" t="s">
        <v>340</v>
      </c>
      <c r="F139" s="405"/>
      <c r="G139" s="405"/>
    </row>
    <row r="140" spans="1:9" x14ac:dyDescent="0.3">
      <c r="C140" s="218"/>
      <c r="E140" s="220" t="s">
        <v>341</v>
      </c>
      <c r="F140" s="220" t="s">
        <v>342</v>
      </c>
      <c r="G140" s="220" t="s">
        <v>343</v>
      </c>
    </row>
    <row r="141" spans="1:9" x14ac:dyDescent="0.3">
      <c r="C141" s="218"/>
      <c r="E141" s="220" t="s">
        <v>344</v>
      </c>
      <c r="F141" s="220" t="s">
        <v>345</v>
      </c>
      <c r="G141" s="220" t="s">
        <v>346</v>
      </c>
    </row>
    <row r="142" spans="1:9" x14ac:dyDescent="0.3">
      <c r="C142" s="218"/>
    </row>
    <row r="143" spans="1:9" x14ac:dyDescent="0.3">
      <c r="C143" s="218"/>
      <c r="E143" s="405" t="s">
        <v>347</v>
      </c>
      <c r="F143" s="405"/>
      <c r="G143" s="405"/>
    </row>
    <row r="144" spans="1:9" x14ac:dyDescent="0.3">
      <c r="C144" s="218"/>
      <c r="E144" s="220" t="s">
        <v>341</v>
      </c>
      <c r="F144" s="220" t="s">
        <v>342</v>
      </c>
      <c r="G144" s="220" t="s">
        <v>343</v>
      </c>
    </row>
    <row r="145" spans="3:8" x14ac:dyDescent="0.3">
      <c r="C145" s="218"/>
      <c r="E145" s="220"/>
      <c r="F145" s="220"/>
      <c r="G145" s="220"/>
    </row>
    <row r="146" spans="3:8" x14ac:dyDescent="0.3">
      <c r="C146" s="218"/>
    </row>
    <row r="147" spans="3:8" x14ac:dyDescent="0.3">
      <c r="C147" s="218"/>
      <c r="E147" s="405" t="s">
        <v>348</v>
      </c>
      <c r="F147" s="405"/>
      <c r="G147" s="405"/>
    </row>
    <row r="148" spans="3:8" x14ac:dyDescent="0.3">
      <c r="C148" s="218"/>
      <c r="E148" s="220" t="s">
        <v>341</v>
      </c>
      <c r="F148" s="220" t="s">
        <v>342</v>
      </c>
      <c r="G148" s="220" t="s">
        <v>343</v>
      </c>
    </row>
    <row r="149" spans="3:8" x14ac:dyDescent="0.3">
      <c r="C149" s="218"/>
      <c r="E149" s="220" t="s">
        <v>349</v>
      </c>
      <c r="F149" s="220"/>
      <c r="G149" s="220"/>
    </row>
    <row r="150" spans="3:8" x14ac:dyDescent="0.3">
      <c r="C150" s="218"/>
    </row>
    <row r="151" spans="3:8" x14ac:dyDescent="0.3">
      <c r="C151" s="218"/>
      <c r="E151" s="405" t="s">
        <v>350</v>
      </c>
      <c r="F151" s="405"/>
      <c r="G151" s="405"/>
    </row>
    <row r="152" spans="3:8" x14ac:dyDescent="0.3">
      <c r="C152" s="218"/>
      <c r="E152" s="220" t="s">
        <v>341</v>
      </c>
      <c r="F152" s="220" t="s">
        <v>342</v>
      </c>
      <c r="G152" s="220" t="s">
        <v>343</v>
      </c>
      <c r="H152" s="220" t="s">
        <v>351</v>
      </c>
    </row>
    <row r="153" spans="3:8" x14ac:dyDescent="0.3">
      <c r="C153" s="218"/>
      <c r="E153" s="220" t="s">
        <v>352</v>
      </c>
      <c r="F153" s="220" t="s">
        <v>353</v>
      </c>
      <c r="G153" s="220" t="s">
        <v>354</v>
      </c>
      <c r="H153" s="220" t="s">
        <v>355</v>
      </c>
    </row>
    <row r="154" spans="3:8" x14ac:dyDescent="0.3">
      <c r="C154" s="218"/>
      <c r="E154" s="220"/>
      <c r="F154" s="220"/>
      <c r="G154" s="220"/>
      <c r="H154" s="220"/>
    </row>
    <row r="155" spans="3:8" x14ac:dyDescent="0.3">
      <c r="C155" s="218"/>
    </row>
    <row r="156" spans="3:8" x14ac:dyDescent="0.3">
      <c r="C156" s="218"/>
    </row>
    <row r="157" spans="3:8" x14ac:dyDescent="0.3">
      <c r="C157" s="218"/>
      <c r="E157" s="405" t="s">
        <v>356</v>
      </c>
      <c r="F157" s="405"/>
      <c r="G157" s="405"/>
      <c r="H157" s="405"/>
    </row>
    <row r="158" spans="3:8" x14ac:dyDescent="0.3">
      <c r="C158" s="218"/>
      <c r="E158" s="220" t="s">
        <v>341</v>
      </c>
      <c r="F158" s="220" t="s">
        <v>342</v>
      </c>
      <c r="G158" s="220" t="s">
        <v>343</v>
      </c>
      <c r="H158" s="220" t="s">
        <v>351</v>
      </c>
    </row>
    <row r="159" spans="3:8" x14ac:dyDescent="0.3">
      <c r="C159" s="218"/>
      <c r="E159" s="220" t="s">
        <v>357</v>
      </c>
      <c r="F159" s="220" t="s">
        <v>358</v>
      </c>
      <c r="G159" s="220" t="s">
        <v>359</v>
      </c>
      <c r="H159" s="220" t="s">
        <v>360</v>
      </c>
    </row>
    <row r="160" spans="3:8" x14ac:dyDescent="0.3">
      <c r="C160" s="218"/>
      <c r="E160" s="220"/>
      <c r="F160" s="220"/>
      <c r="G160" s="220"/>
      <c r="H160" s="220"/>
    </row>
    <row r="161" spans="3:8" x14ac:dyDescent="0.3">
      <c r="C161" s="218"/>
    </row>
    <row r="162" spans="3:8" x14ac:dyDescent="0.3">
      <c r="C162" s="218"/>
    </row>
    <row r="163" spans="3:8" x14ac:dyDescent="0.3">
      <c r="C163" s="218"/>
      <c r="E163" s="405" t="s">
        <v>356</v>
      </c>
      <c r="F163" s="405"/>
      <c r="G163" s="405"/>
      <c r="H163" s="405"/>
    </row>
    <row r="164" spans="3:8" x14ac:dyDescent="0.3">
      <c r="C164" s="218"/>
      <c r="E164" s="220" t="s">
        <v>341</v>
      </c>
      <c r="F164" s="220" t="s">
        <v>342</v>
      </c>
      <c r="G164" s="220" t="s">
        <v>343</v>
      </c>
      <c r="H164" s="220" t="s">
        <v>351</v>
      </c>
    </row>
    <row r="165" spans="3:8" x14ac:dyDescent="0.3">
      <c r="C165" s="218"/>
      <c r="E165" s="220" t="s">
        <v>357</v>
      </c>
      <c r="F165" s="220" t="s">
        <v>358</v>
      </c>
      <c r="G165" s="220" t="s">
        <v>359</v>
      </c>
      <c r="H165" s="220" t="s">
        <v>360</v>
      </c>
    </row>
    <row r="166" spans="3:8" x14ac:dyDescent="0.3">
      <c r="C166" s="218"/>
      <c r="E166" s="220"/>
      <c r="F166" s="220"/>
      <c r="G166" s="220"/>
      <c r="H166" s="220"/>
    </row>
    <row r="167" spans="3:8" x14ac:dyDescent="0.3">
      <c r="C167" s="218"/>
    </row>
    <row r="168" spans="3:8" x14ac:dyDescent="0.3">
      <c r="C168" s="218"/>
      <c r="E168" s="405" t="s">
        <v>361</v>
      </c>
      <c r="F168" s="405"/>
      <c r="G168" s="405"/>
      <c r="H168" s="405"/>
    </row>
    <row r="169" spans="3:8" x14ac:dyDescent="0.3">
      <c r="C169" s="218"/>
      <c r="E169" s="220" t="s">
        <v>341</v>
      </c>
      <c r="F169" s="220" t="s">
        <v>342</v>
      </c>
      <c r="G169" s="220" t="s">
        <v>343</v>
      </c>
      <c r="H169" s="220" t="s">
        <v>351</v>
      </c>
    </row>
    <row r="170" spans="3:8" x14ac:dyDescent="0.3">
      <c r="C170" s="218"/>
      <c r="E170" s="220" t="s">
        <v>362</v>
      </c>
      <c r="F170" s="220"/>
      <c r="G170" s="220"/>
      <c r="H170" s="220"/>
    </row>
    <row r="171" spans="3:8" x14ac:dyDescent="0.3">
      <c r="C171" s="218"/>
    </row>
    <row r="172" spans="3:8" x14ac:dyDescent="0.3">
      <c r="C172" s="218"/>
    </row>
    <row r="173" spans="3:8" x14ac:dyDescent="0.3">
      <c r="C173" s="218"/>
      <c r="E173" s="405" t="s">
        <v>363</v>
      </c>
      <c r="F173" s="405"/>
      <c r="G173" s="405"/>
      <c r="H173" s="405"/>
    </row>
    <row r="174" spans="3:8" x14ac:dyDescent="0.3">
      <c r="C174" s="218"/>
      <c r="E174" s="220" t="s">
        <v>341</v>
      </c>
      <c r="F174" s="220" t="s">
        <v>342</v>
      </c>
      <c r="G174" s="220" t="s">
        <v>343</v>
      </c>
      <c r="H174" s="220" t="s">
        <v>351</v>
      </c>
    </row>
    <row r="175" spans="3:8" x14ac:dyDescent="0.3">
      <c r="C175" s="218"/>
      <c r="E175" s="220" t="s">
        <v>364</v>
      </c>
      <c r="F175" s="220" t="s">
        <v>365</v>
      </c>
      <c r="G175" s="220"/>
      <c r="H175" s="220"/>
    </row>
    <row r="176" spans="3:8" x14ac:dyDescent="0.3">
      <c r="C176" s="218"/>
    </row>
    <row r="177" spans="3:8" x14ac:dyDescent="0.3">
      <c r="C177" s="218"/>
    </row>
    <row r="178" spans="3:8" x14ac:dyDescent="0.3">
      <c r="C178" s="218"/>
      <c r="E178" s="405" t="s">
        <v>366</v>
      </c>
      <c r="F178" s="405"/>
      <c r="G178" s="405"/>
      <c r="H178" s="405"/>
    </row>
    <row r="179" spans="3:8" x14ac:dyDescent="0.3">
      <c r="C179" s="218"/>
      <c r="E179" s="220" t="s">
        <v>341</v>
      </c>
      <c r="F179" s="220" t="s">
        <v>342</v>
      </c>
      <c r="G179" s="220" t="s">
        <v>343</v>
      </c>
      <c r="H179" s="220" t="s">
        <v>351</v>
      </c>
    </row>
    <row r="180" spans="3:8" x14ac:dyDescent="0.3">
      <c r="C180" s="218"/>
      <c r="E180" s="220" t="s">
        <v>367</v>
      </c>
      <c r="F180" s="220"/>
      <c r="G180" s="220"/>
      <c r="H180" s="220"/>
    </row>
    <row r="181" spans="3:8" x14ac:dyDescent="0.3">
      <c r="C181" s="218"/>
    </row>
    <row r="182" spans="3:8" x14ac:dyDescent="0.3">
      <c r="C182" s="218"/>
    </row>
    <row r="183" spans="3:8" x14ac:dyDescent="0.3">
      <c r="C183" s="218"/>
      <c r="E183" s="405" t="s">
        <v>368</v>
      </c>
      <c r="F183" s="405"/>
      <c r="G183" s="405"/>
      <c r="H183" s="405"/>
    </row>
    <row r="184" spans="3:8" x14ac:dyDescent="0.3">
      <c r="C184" s="218"/>
      <c r="E184" s="220" t="s">
        <v>341</v>
      </c>
      <c r="F184" s="220" t="s">
        <v>342</v>
      </c>
      <c r="G184" s="220" t="s">
        <v>343</v>
      </c>
      <c r="H184" s="220" t="s">
        <v>351</v>
      </c>
    </row>
    <row r="185" spans="3:8" x14ac:dyDescent="0.3">
      <c r="C185" s="218"/>
      <c r="E185" s="220" t="s">
        <v>369</v>
      </c>
      <c r="F185" s="220" t="s">
        <v>370</v>
      </c>
      <c r="G185" s="220" t="s">
        <v>371</v>
      </c>
      <c r="H185" s="220"/>
    </row>
    <row r="186" spans="3:8" x14ac:dyDescent="0.3">
      <c r="C186" s="218"/>
    </row>
    <row r="187" spans="3:8" x14ac:dyDescent="0.3">
      <c r="C187" s="218"/>
    </row>
    <row r="188" spans="3:8" x14ac:dyDescent="0.3">
      <c r="C188" s="218"/>
      <c r="E188" s="405" t="s">
        <v>372</v>
      </c>
      <c r="F188" s="405"/>
      <c r="G188" s="405"/>
      <c r="H188" s="405"/>
    </row>
    <row r="189" spans="3:8" x14ac:dyDescent="0.3">
      <c r="C189" s="218"/>
      <c r="E189" t="s">
        <v>341</v>
      </c>
      <c r="F189" t="s">
        <v>342</v>
      </c>
      <c r="G189" t="s">
        <v>343</v>
      </c>
      <c r="H189" t="s">
        <v>351</v>
      </c>
    </row>
    <row r="190" spans="3:8" x14ac:dyDescent="0.3">
      <c r="C190" s="218"/>
      <c r="E190" t="s">
        <v>373</v>
      </c>
      <c r="F190" t="s">
        <v>374</v>
      </c>
      <c r="G190" t="s">
        <v>375</v>
      </c>
    </row>
    <row r="191" spans="3:8" x14ac:dyDescent="0.3">
      <c r="C191" s="218"/>
    </row>
    <row r="192" spans="3:8" x14ac:dyDescent="0.3">
      <c r="C192" s="218"/>
      <c r="E192" s="405" t="s">
        <v>377</v>
      </c>
      <c r="F192" s="405"/>
      <c r="G192" s="405"/>
      <c r="H192" s="405"/>
    </row>
    <row r="193" spans="3:11" x14ac:dyDescent="0.3">
      <c r="C193" s="218"/>
      <c r="E193" t="s">
        <v>341</v>
      </c>
      <c r="F193" t="s">
        <v>342</v>
      </c>
      <c r="G193" t="s">
        <v>343</v>
      </c>
      <c r="H193" t="s">
        <v>351</v>
      </c>
    </row>
    <row r="194" spans="3:11" x14ac:dyDescent="0.3">
      <c r="C194" s="218"/>
    </row>
    <row r="195" spans="3:11" x14ac:dyDescent="0.3">
      <c r="C195" s="218"/>
    </row>
    <row r="196" spans="3:11" x14ac:dyDescent="0.3">
      <c r="C196" s="218"/>
    </row>
    <row r="197" spans="3:11" x14ac:dyDescent="0.3">
      <c r="C197" s="218"/>
      <c r="E197" s="220" t="s">
        <v>406</v>
      </c>
      <c r="F197" s="220" t="s">
        <v>407</v>
      </c>
      <c r="G197" s="220" t="s">
        <v>408</v>
      </c>
    </row>
    <row r="198" spans="3:11" x14ac:dyDescent="0.3">
      <c r="C198" s="218"/>
      <c r="E198" s="310">
        <v>0.64930555555555558</v>
      </c>
      <c r="F198" s="310">
        <v>0.64930555555555558</v>
      </c>
      <c r="G198" s="220" t="s">
        <v>509</v>
      </c>
    </row>
    <row r="199" spans="3:11" x14ac:dyDescent="0.3">
      <c r="C199" s="218"/>
    </row>
    <row r="200" spans="3:11" x14ac:dyDescent="0.3">
      <c r="C200" s="218"/>
      <c r="E200" s="19"/>
      <c r="F200" s="432" t="s">
        <v>399</v>
      </c>
      <c r="G200" s="432"/>
      <c r="H200" s="432"/>
      <c r="I200" s="432" t="s">
        <v>400</v>
      </c>
      <c r="J200" s="432"/>
      <c r="K200" s="433"/>
    </row>
    <row r="201" spans="3:11" x14ac:dyDescent="0.3">
      <c r="C201" s="218"/>
      <c r="E201" s="251" t="s">
        <v>401</v>
      </c>
      <c r="F201" s="434"/>
      <c r="G201" s="434"/>
      <c r="H201" s="434"/>
      <c r="I201" s="434" t="s">
        <v>415</v>
      </c>
      <c r="J201" s="434"/>
      <c r="K201" s="437"/>
    </row>
    <row r="202" spans="3:11" x14ac:dyDescent="0.3">
      <c r="C202" s="218"/>
      <c r="E202" s="251" t="s">
        <v>402</v>
      </c>
      <c r="F202" s="4"/>
      <c r="G202" s="4"/>
      <c r="H202" s="4"/>
      <c r="I202" s="435" t="s">
        <v>416</v>
      </c>
      <c r="J202" s="435"/>
      <c r="K202" s="436"/>
    </row>
    <row r="203" spans="3:11" x14ac:dyDescent="0.3">
      <c r="C203" s="218"/>
    </row>
    <row r="204" spans="3:11" x14ac:dyDescent="0.3">
      <c r="C204" s="218"/>
    </row>
    <row r="205" spans="3:11" x14ac:dyDescent="0.3">
      <c r="C205" s="218"/>
    </row>
    <row r="206" spans="3:11" x14ac:dyDescent="0.3">
      <c r="C206" s="218"/>
    </row>
    <row r="207" spans="3:11" x14ac:dyDescent="0.3">
      <c r="C207" s="218"/>
    </row>
    <row r="208" spans="3:11" x14ac:dyDescent="0.3">
      <c r="C208" s="218"/>
    </row>
    <row r="209" spans="3:3" x14ac:dyDescent="0.3">
      <c r="C209" s="218"/>
    </row>
    <row r="210" spans="3:3" x14ac:dyDescent="0.3">
      <c r="C210" s="218"/>
    </row>
    <row r="211" spans="3:3" x14ac:dyDescent="0.3">
      <c r="C211" s="218"/>
    </row>
    <row r="212" spans="3:3" x14ac:dyDescent="0.3">
      <c r="C212" s="218"/>
    </row>
    <row r="213" spans="3:3" x14ac:dyDescent="0.3">
      <c r="C213" s="218"/>
    </row>
    <row r="214" spans="3:3" x14ac:dyDescent="0.3">
      <c r="C214" s="218"/>
    </row>
    <row r="215" spans="3:3" x14ac:dyDescent="0.3">
      <c r="C215" s="218"/>
    </row>
    <row r="216" spans="3:3" x14ac:dyDescent="0.3">
      <c r="C216" s="218"/>
    </row>
    <row r="217" spans="3:3" x14ac:dyDescent="0.3">
      <c r="C217" s="218"/>
    </row>
    <row r="218" spans="3:3" x14ac:dyDescent="0.3">
      <c r="C218" s="218"/>
    </row>
    <row r="219" spans="3:3" x14ac:dyDescent="0.3">
      <c r="C219" s="218"/>
    </row>
    <row r="220" spans="3:3" x14ac:dyDescent="0.3">
      <c r="C220" s="218"/>
    </row>
    <row r="221" spans="3:3" x14ac:dyDescent="0.3">
      <c r="C221" s="218"/>
    </row>
    <row r="222" spans="3:3" x14ac:dyDescent="0.3">
      <c r="C222" s="218"/>
    </row>
    <row r="223" spans="3:3" x14ac:dyDescent="0.3">
      <c r="C223" s="218"/>
    </row>
    <row r="224" spans="3:3" x14ac:dyDescent="0.3">
      <c r="C224" s="218"/>
    </row>
    <row r="225" spans="3:3" x14ac:dyDescent="0.3">
      <c r="C225" s="218"/>
    </row>
    <row r="226" spans="3:3" x14ac:dyDescent="0.3">
      <c r="C226" s="218"/>
    </row>
    <row r="227" spans="3:3" x14ac:dyDescent="0.3">
      <c r="C227" s="218"/>
    </row>
    <row r="228" spans="3:3" x14ac:dyDescent="0.3">
      <c r="C228" s="218"/>
    </row>
    <row r="229" spans="3:3" x14ac:dyDescent="0.3">
      <c r="C229" s="218"/>
    </row>
    <row r="230" spans="3:3" x14ac:dyDescent="0.3">
      <c r="C230" s="218"/>
    </row>
    <row r="231" spans="3:3" x14ac:dyDescent="0.3">
      <c r="C231" s="218"/>
    </row>
    <row r="232" spans="3:3" x14ac:dyDescent="0.3">
      <c r="C232" s="218"/>
    </row>
    <row r="233" spans="3:3" x14ac:dyDescent="0.3">
      <c r="C233" s="218"/>
    </row>
    <row r="234" spans="3:3" x14ac:dyDescent="0.3">
      <c r="C234" s="218"/>
    </row>
    <row r="235" spans="3:3" x14ac:dyDescent="0.3">
      <c r="C235" s="218"/>
    </row>
    <row r="236" spans="3:3" x14ac:dyDescent="0.3">
      <c r="C236" s="218"/>
    </row>
    <row r="237" spans="3:3" x14ac:dyDescent="0.3">
      <c r="C237" s="218"/>
    </row>
    <row r="238" spans="3:3" x14ac:dyDescent="0.3">
      <c r="C238" s="218"/>
    </row>
    <row r="239" spans="3:3" x14ac:dyDescent="0.3">
      <c r="C239" s="218"/>
    </row>
    <row r="240" spans="3:3" x14ac:dyDescent="0.3">
      <c r="C240" s="218"/>
    </row>
    <row r="241" spans="3:3" x14ac:dyDescent="0.3">
      <c r="C241" s="218"/>
    </row>
    <row r="242" spans="3:3" x14ac:dyDescent="0.3">
      <c r="C242" s="218"/>
    </row>
    <row r="243" spans="3:3" x14ac:dyDescent="0.3">
      <c r="C243" s="218"/>
    </row>
    <row r="244" spans="3:3" x14ac:dyDescent="0.3">
      <c r="C244" s="218"/>
    </row>
    <row r="245" spans="3:3" x14ac:dyDescent="0.3">
      <c r="C245" s="218"/>
    </row>
    <row r="246" spans="3:3" x14ac:dyDescent="0.3">
      <c r="C246" s="218"/>
    </row>
    <row r="247" spans="3:3" x14ac:dyDescent="0.3">
      <c r="C247" s="218"/>
    </row>
    <row r="248" spans="3:3" x14ac:dyDescent="0.3">
      <c r="C248" s="218"/>
    </row>
    <row r="249" spans="3:3" x14ac:dyDescent="0.3">
      <c r="C249" s="218"/>
    </row>
    <row r="250" spans="3:3" x14ac:dyDescent="0.3">
      <c r="C250" s="218"/>
    </row>
    <row r="251" spans="3:3" x14ac:dyDescent="0.3">
      <c r="C251" s="218"/>
    </row>
    <row r="252" spans="3:3" x14ac:dyDescent="0.3">
      <c r="C252" s="218"/>
    </row>
    <row r="253" spans="3:3" x14ac:dyDescent="0.3">
      <c r="C253" s="218"/>
    </row>
    <row r="254" spans="3:3" x14ac:dyDescent="0.3">
      <c r="C254" s="218"/>
    </row>
    <row r="255" spans="3:3" x14ac:dyDescent="0.3">
      <c r="C255" s="218"/>
    </row>
    <row r="256" spans="3:3" x14ac:dyDescent="0.3">
      <c r="C256" s="218"/>
    </row>
    <row r="257" spans="3:3" x14ac:dyDescent="0.3">
      <c r="C257" s="218"/>
    </row>
    <row r="258" spans="3:3" x14ac:dyDescent="0.3">
      <c r="C258" s="218"/>
    </row>
    <row r="259" spans="3:3" x14ac:dyDescent="0.3">
      <c r="C259" s="218"/>
    </row>
  </sheetData>
  <mergeCells count="60">
    <mergeCell ref="E192:H192"/>
    <mergeCell ref="L63:N63"/>
    <mergeCell ref="E188:H188"/>
    <mergeCell ref="E163:H163"/>
    <mergeCell ref="E168:H168"/>
    <mergeCell ref="E173:H173"/>
    <mergeCell ref="E178:H178"/>
    <mergeCell ref="E183:H183"/>
    <mergeCell ref="E139:G139"/>
    <mergeCell ref="E143:G143"/>
    <mergeCell ref="E147:G147"/>
    <mergeCell ref="E151:G151"/>
    <mergeCell ref="E157:H157"/>
    <mergeCell ref="E63:H63"/>
    <mergeCell ref="D137:H137"/>
    <mergeCell ref="E70:H70"/>
    <mergeCell ref="E82:H82"/>
    <mergeCell ref="E88:H88"/>
    <mergeCell ref="E94:H94"/>
    <mergeCell ref="E101:H101"/>
    <mergeCell ref="D2:X2"/>
    <mergeCell ref="I20:K20"/>
    <mergeCell ref="D32:P32"/>
    <mergeCell ref="D38:P38"/>
    <mergeCell ref="M20:O20"/>
    <mergeCell ref="Q20:S20"/>
    <mergeCell ref="G4:K4"/>
    <mergeCell ref="M4:P4"/>
    <mergeCell ref="E108:H108"/>
    <mergeCell ref="E116:H116"/>
    <mergeCell ref="E123:H123"/>
    <mergeCell ref="E130:H130"/>
    <mergeCell ref="B2:B3"/>
    <mergeCell ref="B5:B6"/>
    <mergeCell ref="B8:B9"/>
    <mergeCell ref="B11:B12"/>
    <mergeCell ref="B14:B15"/>
    <mergeCell ref="B17:B18"/>
    <mergeCell ref="B20:B21"/>
    <mergeCell ref="B23:B24"/>
    <mergeCell ref="B26:B27"/>
    <mergeCell ref="B29:B30"/>
    <mergeCell ref="D56:P56"/>
    <mergeCell ref="E76:H76"/>
    <mergeCell ref="Y20:AA20"/>
    <mergeCell ref="B47:B48"/>
    <mergeCell ref="B50:B51"/>
    <mergeCell ref="B32:B33"/>
    <mergeCell ref="B35:B36"/>
    <mergeCell ref="B38:B39"/>
    <mergeCell ref="B41:B42"/>
    <mergeCell ref="B44:B45"/>
    <mergeCell ref="D44:P44"/>
    <mergeCell ref="U20:W20"/>
    <mergeCell ref="D50:P50"/>
    <mergeCell ref="F201:H201"/>
    <mergeCell ref="I201:K201"/>
    <mergeCell ref="I202:K202"/>
    <mergeCell ref="F200:H200"/>
    <mergeCell ref="I200:K200"/>
  </mergeCells>
  <phoneticPr fontId="2" type="noConversion"/>
  <dataValidations count="8">
    <dataValidation type="list" allowBlank="1" showInputMessage="1" showErrorMessage="1" sqref="M6:M8 G6:G17" xr:uid="{85207DCC-042E-4045-A504-028DCD42DCF4}">
      <formula1>INDIRECT("tour_type")</formula1>
    </dataValidation>
    <dataValidation type="list" allowBlank="1" showInputMessage="1" showErrorMessage="1" sqref="E34:P34 E40:P40 E46:P46 E52:P52 E58:P58" xr:uid="{F09D30DD-9A30-482D-A9CD-C031E87A998E}">
      <formula1>INDIRECT("breakfast_menu")</formula1>
    </dataValidation>
    <dataValidation type="list" allowBlank="1" showInputMessage="1" showErrorMessage="1" sqref="E35:P35 E41:P41 E47:P47 E53:P53 E59:P59" xr:uid="{2F944068-00CE-4F06-85C1-BCDCF66165A4}">
      <formula1>INDIRECT("lunch_menu")</formula1>
    </dataValidation>
    <dataValidation type="list" allowBlank="1" showInputMessage="1" showErrorMessage="1" sqref="E36:P36 E42:P42 E48:P48 E54:P54 E60:P60" xr:uid="{2B3A6D18-975B-4A6A-9754-0575FE3E2F2E}">
      <formula1>INDIRECT("dinner_menu")</formula1>
    </dataValidation>
    <dataValidation type="list" allowBlank="1" showInputMessage="1" showErrorMessage="1" sqref="O6:O8 J6:J18" xr:uid="{6C40FC8B-2E46-47BF-A287-1E51E8A55AD4}">
      <formula1>INDIRECT("dietary_requirements")</formula1>
    </dataValidation>
    <dataValidation type="list" allowBlank="1" showInputMessage="1" showErrorMessage="1" sqref="E55:P55" xr:uid="{53CC5059-73EE-4500-94B8-538FAD68862E}">
      <formula1>INDIRECT("dinner_menu_nn")</formula1>
    </dataValidation>
    <dataValidation type="list" allowBlank="1" showInputMessage="1" showErrorMessage="1" sqref="I6:I18" xr:uid="{0B32D77A-6D3B-4871-B38F-659A7A2D5A1E}">
      <formula1>INDIRECT("party")</formula1>
    </dataValidation>
    <dataValidation type="list" allowBlank="1" showInputMessage="1" showErrorMessage="1" sqref="E65:E67 E72:E74 E78:E80 E132:E135 E125:E128 E90:E92 E96:E99 E103:E106 E110:E113 E118:E121 E84:E86" xr:uid="{DC96A709-62B8-4D73-ACD3-D08261B5D85E}">
      <formula1>INDIRECT("supplier_information[accommodation]")</formula1>
    </dataValidation>
  </dataValidations>
  <hyperlinks>
    <hyperlink ref="N68" r:id="rId1" display="https://www.google.com.au/search?q=chillagoe+cabins&amp;sxsrf=ALiCzsZ0mLZOEJOHa7VbpCXP9j_WuHKrrw%3A1658364039454&amp;source=hp&amp;ei=h6DYYpSuGd3QseMP7vGesAQ&amp;iflsig=AJiK0e8AAAAAYtiulyPJxAs83Gv5Y8QnideNBGbbxiVg&amp;ved=0ahUKEwjUjem734j5AhVdaGwGHe64B0YQ4dUDCAk&amp;uact=5&amp;oq=chillagoe+cabins&amp;gs_lcp=Cgdnd3Mtd2l6EAMyBAgjECcyCwguEIAEEMcBEK8BMggIABCABBDJAzIFCAAQhgMyBQgAEIYDOhEILhCABBCxAxCDARDHARDRAzoLCAAQgAQQsQMQgwE6BQguEIAEOgUIABCABDoFCAAQkgM6DgguEIAEELEDEIMBENQCOg4IABCABBCxAxCDARDJAzoICC4QgAQQsQM6CwguEIAEELEDEIMBOgoIABCxAxCDARAKOgoILhDHARCvARAKOgQIABAKUABYkxBgthFoAHAAeACAAcwEiAGwIJIBCTItNy40LjAuMpgBAKABAQ&amp;sclient=gws-wiz" xr:uid="{1C8414D1-94FD-4CFD-9B8A-8DC0EC3DA176}"/>
    <hyperlink ref="N78" r:id="rId2" display="https://www.google.com.au/search?q=Mungumby+Lodge&amp;sxsrf=ALiCzsahjLCNkVZqmTSraqkhCYikFnel4w%3A1658365213369&amp;ei=HaXYYsqWFpLMseMPrZCaoA0&amp;hotel_occupancy=2&amp;ved=0ahUKEwiKmc3r44j5AhUSZmwGHS2IBtQQ4dUDCA4&amp;uact=5&amp;oq=Mungumby+Lodge&amp;gs_lcp=Cgdnd3Mtd2l6EAMyBAgjECcyCwguEIAEEMcBEK8BMgUIABCABDIGCAAQHhAWOgoILhDHARCvARBDOgsIABCABBCxAxCDAToOCC4QgAQQsQMQxwEQ0QM6EQguEIAEELEDEIMBEMcBENEDOgsILhCABBCxAxCDAToFCAAQkQI6BAgAEEM6DgguELEDEIMBEMcBENEDOggIABDJAxCRAjoOCC4QgAQQsQMQgwEQ1AI6CAguEIAEELEDOgUILhCABDoOCC4QgAQQxwEQrwEQ1AI6BAguEEM6CgguELEDEIMBEEM6CgguEIAEENQCEAo6BwgAEIAEEAo6CwguEMcBEK8BEJECOgYIABAeEAo6BAgAEB46CAgAEB4QBRAKSgQIQRgASgQIRhgAUABYhhJg7RJoAHABeACAAbUCiAG7FZIBBzAuNi42LjGYAQCgAQHAAQE&amp;sclient=gws-wiz" xr:uid="{1E95C697-C148-4241-801C-C9C775D75730}"/>
    <hyperlink ref="N73" r:id="rId3" display="https://www.google.com.au/search?q=Lions+Den+Hotel+&amp;hotel_occupancy=2&amp;sxsrf=ALiCzsY72YJ2t1rx65S2QCAczEM1B5QJmg%3A1658365498068&amp;ei=OqbYYvrsA-KdseMPy_it0Ao&amp;ved=0ahUKEwj68a3z5Ij5AhXiTmwGHUt8C6oQ4dUDCA4&amp;uact=5&amp;oq=Lions+Den+Hotel+&amp;gs_lcp=Cgdnd3Mtd2l6EAMyBQgAEIAEMgUIABCABDILCC4QgAQQxwEQrwEyBQgAEIAEMgUIABCABDIICAAQgAQQyQMyBQgAEIAEMgUIABCABDIFCAAQgAQyBQgAEIAEOhEILhCABBCxAxCDARDHARCvAToFCAAQkQJKBAhBGABKBAhGGABQAFiuCGC-F2gAcAF4AIABtQKIAfoDkgEHMC4xLjAuMZgBAKABAqABAcABAQ&amp;sclient=gws-wiz" xr:uid="{39CC7502-014C-48AE-AA0D-5682B59D6FCF}"/>
    <hyperlink ref="N79" r:id="rId4" display="https://www.google.com.au/search?q=paronella+park&amp;sxsrf=ALiCzsbsVx6oSxosdzpF00YsTnNmCDyzFA%3A1658234617111&amp;ei=-abWYpewBtSVseMPr4in0As&amp;ved=0ahUKEwjXkLqq_YT5AhXUSmwGHS_ECboQ4dUDCA4&amp;uact=5&amp;oq=paronella+park&amp;gs_lcp=Cgdnd3Mtd2l6EAMyBAgjECcyEQguEIAEELEDEIMBEMcBEK8BMgUIABCRAjIFCAAQgAQyBQgAEIAEMgUIABCABDIFCAAQgAQyBQgAEIAEMgUIABCABDIFCAAQgAQ6BAgAEEc6BggAEB4QFkoECEEYAEoECEYYAFCrAljABmCECWgAcAJ4AIABhwKIAZ4FkgEFMC4xLjKYAQCgAQHIAQjAAQE&amp;sclient=gws-wiz" xr:uid="{F625424F-FEAF-4EC0-A2B6-DD07BFD99842}"/>
    <hyperlink ref="N75" r:id="rId5" display="https://www.google.com.au/search?q=mena+creek+hotel&amp;sxsrf=ALiCzsYFeJDrk5paTHbinoW7MH0NpAtIpg%3A1658234628060&amp;ei=BKfWYqimA8GRseMP8ei96Ag&amp;ved=0ahUKEwiouNav_YT5AhXBSGwGHXF0D40Q4dUDCA4&amp;uact=5&amp;oq=mena+creek+hotel&amp;gs_lcp=Cgdnd3Mtd2l6EAMyBAgjECcyCwguEIAEEMcBEK8BMgUIABCABDIICAAQgAQQyQMyBQgAEIAEMgYIABAeEBY6BwgjEOoCECc6DQguEMcBEK8BEOoCECc6BAguEEM6BwguENQCEEM6CggAELEDEIMBEEM6CAguELEDEIMBOgoILhDHARCvARBDOggIABCxAxCDAToECAAQQzoOCC4QsQMQgwEQxwEQ0QM6EQguEIAEELEDEIMBEMcBEK8BOgsIABCABBCxAxCDAToRCC4QgAQQsQMQgwEQxwEQ0QM6CAguEIAEENQCOggIABCABBCxAzoKCC4QxwEQ0QMQQzoHCAAQyQMQQzoHCC4QsQMQQzoFCC4QgAQ6CwguEIAEELEDEIMBOgoILhCxAxCDARBDOgoIABCABBCHAhAUOhAILhCABBCHAhDHARCvARAUOgUIABCGA0oECEEYAEoECEYYAFAAWI0ZYPIaaAFwAXgAgAHmAYgBhRqSAQYwLjQuMTKYAQCgAQGwAQrAAQE&amp;sclient=gws-wiz" xr:uid="{327168AA-48E1-44D5-A0E3-9007BFA615C8}"/>
    <hyperlink ref="N74" r:id="rId6" display="https://www.google.com.au/search?q=mena+creek+flower+house&amp;sxsrf=ALiCzsb6lHkpZJN3UWahhcK502Ljy-lymg%3A1659316479458&amp;source=hp&amp;ei=_yjnYra9GeWc4-EP5-uHqAE&amp;iflsig=AJiK0e8AAAAAYuc3D4PwdSWqbvmC_ATa_wVHxFVSpvfk&amp;ved=0ahUKEwj2uM3Ku6T5AhVlzjgGHef1ARUQ4dUDCAk&amp;uact=5&amp;oq=mena+creek+flower+house&amp;gs_lcp=Cgdnd3Mtd2l6EAMyBAgjECcyCwguEIAEEMcBEK8BMgUIABCGAzIFCAAQhgM6CwgAEIAEELEDEIMBOhEILhCABBCxAxCDARDHARDRAzoLCC4QgAQQsQMQgwE6CAgAEIAEELEDOgUIABCABDoICC4QgAQQ1AI6DgguEIAEELEDEMcBENEDOggILhCABBCxAzoLCC4QgAQQsQMQ1AI6BQguEIAEOggIABCxAxCDAToOCC4QgAQQsQMQgwEQ1AI6EAguEIAEEIcCEMcBEK8BEBQ6CggAEIAEEIcCEBQ6CQgAEB4QyQMQFjoGCAAQHhAWOggIABAeEBYQClAAWPMjYKklaAFwAHgAgAHLAogBlyiSAQgwLjExLjkuM5gBAKABAQ&amp;sclient=gws-wiz" xr:uid="{9013CA6D-D856-4F53-8ABF-2AB04E96BC9A}"/>
    <hyperlink ref="N81" r:id="rId7" display="https://www.google.com.au/search?q=River+of+Gold+Motel&amp;hotel_occupancy=2&amp;sxsrf=ALiCzsYXmLaaVMoepJkKQwe5Tir1p3-Sxw%3A1659320753501&amp;ei=sTnnYramHuagseMP2KOKkAI&amp;ved=0ahUKEwj2wtLAy6T5AhVmUGwGHdiRAiIQ4dUDCA4&amp;uact=5&amp;oq=River+of+Gold+Motel&amp;gs_lcp=Cgdnd3Mtd2l6EANKBAhBGABKBAhGGABQAFgAYH1oAHABeACAAQCIAQCSAQCYAQCgAQKgAQHAAQE&amp;sclient=gws-wiz" xr:uid="{A1672222-C540-43C9-894C-592106374504}"/>
    <hyperlink ref="N85" r:id="rId8" display="https://www.google.com.au/search?q=sheridan+cairns&amp;hotel_occupancy=2&amp;sxsrf=ALiCzsbMOjrXQH1_XnGjecN2W5HXIKjoGQ%3A1659321137639&amp;ei=MTvnYpfJJpqQseMPxaeU-Ak&amp;ved=0ahUKEwjXpej3zKT5AhUaSGwGHcUTBZ8Q4dUDCA4&amp;uact=5&amp;oq=sheridan+cairns&amp;gs_lcp=Cgdnd3Mtd2l6EAMyBAgjECcyCwguEIAEEMcBEK8BMgUIABCABDIGCAAQHhAWMgYIABAeEBYyCQgAEB4QyQMQFjIGCAAQHhAWMgYIABAeEBYyBggAEB4QFjIGCAAQHhAWOhEILhCABBCxAxCDARDHARDRAzoLCC4QgAQQxwEQ0QM6CwgAEIAEELEDEIMBOhAILhCxAxCDARDHARDRAxBDOg4ILhCABBCxAxCDARDUAjoLCC4QgAQQsQMQgwE6BAguEEM6EQguEIAEELEDEIMBEMcBEK8BOhEILhCxAxCDARDHARCvARCRAjoKCC4QxwEQ0QMQQzoKCC4QxwEQrwEQQzoHCAAQsQMQQzoECAAQQzoLCC4QxwEQrwEQkQI6CggAELEDEIMBEEM6DQguEIAEEMcBEK8BEAo6DQguELEDEIMBENQCEEM6CAguEIAEELEDOgoILhDHARCvARAKOgcIABCxAxAKOhAILhCxAxCDARDHARCvARAKOg0ILhCxAxDHARCvARAKOgUILhCABDoICAAQHhAWEApKBAhBGABKBAhGGABQAFiPEmDHE2gAcAF4AIAB9gKIAcgYkgEHMC42LjcuMZgBAKABAcABAQ&amp;sclient=gws-wiz" xr:uid="{F04D7117-5206-490D-A935-DCA56574FF0C}"/>
    <hyperlink ref="B2" location="Panel!C4" display="HOME" xr:uid="{4DC2ACBA-7CDF-4F10-A1D8-58DDDD366664}"/>
    <hyperlink ref="B5" location="Panel!C4" display="HOME" xr:uid="{C15B1B28-6582-4605-9CEE-E5775ED404D1}"/>
    <hyperlink ref="B17" location="Panel!C4" display="HOME" xr:uid="{E39725FF-9D83-452A-8901-EFF88957B451}"/>
    <hyperlink ref="B20" location="Panel!C4" display="HOME" xr:uid="{D61478ED-108A-4B7C-939F-C8ACC27E6252}"/>
    <hyperlink ref="B23" location="Panel!C4" display="HOME" xr:uid="{558AC3B4-F056-48A3-953B-F6675C497134}"/>
    <hyperlink ref="B5:B6" location="data_formula_legend!A1" display="DATA" xr:uid="{6123DA00-12D0-4C64-B7CE-8D634B892CED}"/>
    <hyperlink ref="B17:B18" location="day_1!A1" display="DAY 1" xr:uid="{BE5DDB55-39A2-4A0E-8F8F-7E0B1E0599B0}"/>
    <hyperlink ref="B8" location="Panel!C4" display="HOME" xr:uid="{08489120-1B64-4C6E-A7CF-9829FF44EADA}"/>
    <hyperlink ref="B8:B9" location="Runsheet!A1" display="RUNSHEET" xr:uid="{4A7C812E-1BA9-488E-AAA8-3CA0A4F5399C}"/>
    <hyperlink ref="B20:B21" location="day_2!A1" display="DAY 2" xr:uid="{31AAC915-3811-4DC3-912D-5CB457E03C3A}"/>
    <hyperlink ref="B23:B24" location="day_3!A1" display="DAY 3" xr:uid="{28DC7B21-FF10-41D3-9468-CDEC247F3203}"/>
    <hyperlink ref="B2:B3" location="HOME!A1" display="HOME" xr:uid="{0D44E80E-A591-4E07-AB89-EC62DA283C88}"/>
    <hyperlink ref="B26" location="Panel!C4" display="HOME" xr:uid="{281D5D1D-D2F5-472A-8FCC-2DDDE30D539B}"/>
    <hyperlink ref="B26:B27" location="day_5!A1" display="DAY 4" xr:uid="{3504F230-D4B4-4F0A-B51B-8B684BD1860F}"/>
    <hyperlink ref="B29" location="Panel!C4" display="HOME" xr:uid="{0872119C-FEF5-4724-A0C5-CF9F176753BA}"/>
    <hyperlink ref="B29:B30" location="day_5!A1" display="DAY 5" xr:uid="{C2CF952C-DE27-4C9A-ACF3-E23B225484F1}"/>
    <hyperlink ref="B32" location="Panel!C4" display="HOME" xr:uid="{8DC1DE1C-858F-4587-9111-7451FC54B5ED}"/>
    <hyperlink ref="B32:B33" location="day_6!A1" display="DAY 6" xr:uid="{293D3F9C-FA2F-4F4F-94B3-1D6F57000BFC}"/>
    <hyperlink ref="B14:B15" location="'Food Serves'!A1" display="FOOD SERVES" xr:uid="{D1D2C140-186A-4207-895E-50C8F43DBD99}"/>
    <hyperlink ref="B11:B12" location="'Rest Runsheet Food'!A1" display="RESTAURANT RUNSHEET" xr:uid="{7498B3BD-F547-4EA8-8A7A-5E2B7FE8CE37}"/>
    <hyperlink ref="B14" location="Panel!C4" display="HOME" xr:uid="{358684AB-2D1C-4F53-8FE9-33C0534FB4A5}"/>
    <hyperlink ref="B11" location="Panel!C4" display="HOME" xr:uid="{613723A4-CB04-4674-8A88-8047EEAA135D}"/>
    <hyperlink ref="B35" location="Panel!C4" display="HOME" xr:uid="{E7F59C84-53CB-4297-B3EE-17BD9BF7E778}"/>
    <hyperlink ref="B35:B36" location="day_7!A1" display="DAY 7" xr:uid="{6A3EA450-DD95-4CEF-B155-C50BF5FB040E}"/>
    <hyperlink ref="B38" location="Panel!C4" display="HOME" xr:uid="{10C23300-0360-4B4C-B855-F9974B33D45D}"/>
    <hyperlink ref="B38:B39" location="day_8!A1" display="DAY 8" xr:uid="{31831813-DAA3-45E0-BCE0-63A14169DAFE}"/>
    <hyperlink ref="B41" location="Panel!C4" display="HOME" xr:uid="{C197D961-141D-41C8-922F-C1BB99D7D7CE}"/>
    <hyperlink ref="B41:B42" location="day_9!A1" display="DAY 9" xr:uid="{37D2CDE7-AF6B-458A-9563-D2218E81BAB8}"/>
    <hyperlink ref="B44" location="Panel!C4" display="HOME" xr:uid="{A297F912-B2E0-4747-B545-045CC8884BD5}"/>
    <hyperlink ref="B44:B45" location="day_10!A1" display="DAY 10" xr:uid="{03FFE43A-9E61-4E75-A4C9-269F5F948CE4}"/>
    <hyperlink ref="B47" location="Panel!C4" display="HOME" xr:uid="{29AD850E-0A95-44A9-92B2-64BB0E38E361}"/>
    <hyperlink ref="B47:B48" location="day_11!A1" display="DAY 11" xr:uid="{1122B8E9-99CA-4F6D-911E-682FD30717B1}"/>
    <hyperlink ref="B50" location="Panel!C4" display="HOME" xr:uid="{690CAF4C-8E0F-48FD-A1B7-ECB903B27C56}"/>
    <hyperlink ref="B50:B51" location="day_12!A1" display="DAY 12" xr:uid="{7D9C70C0-1C6C-4E2F-8B9A-EFB989F7C97A}"/>
  </hyperlinks>
  <pageMargins left="0.7" right="0.7" top="0.75" bottom="0.75" header="0.3" footer="0.3"/>
  <pageSetup orientation="portrait" r:id="rId9"/>
  <tableParts count="53"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77E61-F8BA-4B92-9421-8FB23EEE11F3}">
  <sheetPr codeName="Sheet5"/>
  <dimension ref="A1:H259"/>
  <sheetViews>
    <sheetView workbookViewId="0">
      <selection sqref="A1:C1048576"/>
    </sheetView>
  </sheetViews>
  <sheetFormatPr defaultRowHeight="15.6" x14ac:dyDescent="0.3"/>
  <cols>
    <col min="1" max="1" width="1.77734375" style="216" customWidth="1"/>
    <col min="2" max="2" width="15.77734375" style="217" customWidth="1"/>
    <col min="3" max="3" width="1.77734375" style="216" customWidth="1"/>
    <col min="7" max="7" width="49.5546875" customWidth="1"/>
    <col min="8" max="8" width="59.109375" bestFit="1" customWidth="1"/>
  </cols>
  <sheetData>
    <row r="1" spans="1:8" ht="16.2" thickBot="1" x14ac:dyDescent="0.35">
      <c r="A1" s="212"/>
      <c r="B1" s="213"/>
      <c r="C1" s="212"/>
    </row>
    <row r="2" spans="1:8" ht="15" thickTop="1" x14ac:dyDescent="0.3">
      <c r="A2" s="212"/>
      <c r="B2" s="318" t="s">
        <v>264</v>
      </c>
      <c r="C2" s="212"/>
    </row>
    <row r="3" spans="1:8" ht="15" thickBot="1" x14ac:dyDescent="0.35">
      <c r="A3" s="212"/>
      <c r="B3" s="319"/>
      <c r="C3" s="212"/>
    </row>
    <row r="4" spans="1:8" ht="16.8" thickTop="1" thickBot="1" x14ac:dyDescent="0.35">
      <c r="A4" s="212"/>
      <c r="B4" s="213"/>
      <c r="C4" s="212"/>
    </row>
    <row r="5" spans="1:8" ht="15" thickTop="1" x14ac:dyDescent="0.3">
      <c r="A5" s="212"/>
      <c r="B5" s="320" t="s">
        <v>247</v>
      </c>
      <c r="C5" s="212"/>
    </row>
    <row r="6" spans="1:8" ht="15" thickBot="1" x14ac:dyDescent="0.35">
      <c r="A6" s="212"/>
      <c r="B6" s="321"/>
      <c r="C6" s="212"/>
    </row>
    <row r="7" spans="1:8" ht="16.8" thickTop="1" thickBot="1" x14ac:dyDescent="0.35">
      <c r="A7" s="214"/>
      <c r="B7" s="213"/>
      <c r="C7" s="214"/>
    </row>
    <row r="8" spans="1:8" ht="118.2" customHeight="1" thickTop="1" thickBot="1" x14ac:dyDescent="0.35">
      <c r="A8" s="212"/>
      <c r="B8" s="318" t="s">
        <v>265</v>
      </c>
      <c r="C8" s="212"/>
      <c r="G8" s="272"/>
      <c r="H8" s="273" t="s">
        <v>429</v>
      </c>
    </row>
    <row r="9" spans="1:8" ht="15" thickBot="1" x14ac:dyDescent="0.35">
      <c r="A9" s="212"/>
      <c r="B9" s="319"/>
      <c r="C9" s="215"/>
    </row>
    <row r="10" spans="1:8" ht="16.8" thickTop="1" thickBot="1" x14ac:dyDescent="0.35">
      <c r="A10" s="212"/>
      <c r="B10" s="213"/>
      <c r="C10" s="215"/>
    </row>
    <row r="11" spans="1:8" ht="15" thickTop="1" x14ac:dyDescent="0.3">
      <c r="A11" s="212"/>
      <c r="B11" s="318" t="s">
        <v>511</v>
      </c>
      <c r="C11" s="215"/>
    </row>
    <row r="12" spans="1:8" ht="15" thickBot="1" x14ac:dyDescent="0.35">
      <c r="A12" s="212"/>
      <c r="B12" s="319"/>
      <c r="C12" s="215"/>
    </row>
    <row r="13" spans="1:8" ht="16.8" thickTop="1" thickBot="1" x14ac:dyDescent="0.35">
      <c r="A13" s="212"/>
      <c r="B13" s="213"/>
      <c r="C13" s="215"/>
    </row>
    <row r="14" spans="1:8" ht="15" thickTop="1" x14ac:dyDescent="0.3">
      <c r="A14" s="212"/>
      <c r="B14" s="318" t="s">
        <v>512</v>
      </c>
      <c r="C14" s="215"/>
    </row>
    <row r="15" spans="1:8" ht="15" thickBot="1" x14ac:dyDescent="0.35">
      <c r="A15" s="212"/>
      <c r="B15" s="319"/>
      <c r="C15" s="215"/>
    </row>
    <row r="16" spans="1:8" ht="16.8" thickTop="1" thickBot="1" x14ac:dyDescent="0.35">
      <c r="A16" s="212"/>
      <c r="B16" s="213"/>
      <c r="C16" s="215"/>
    </row>
    <row r="17" spans="1:3" ht="15" thickTop="1" x14ac:dyDescent="0.3">
      <c r="A17" s="212"/>
      <c r="B17" s="318" t="s">
        <v>266</v>
      </c>
      <c r="C17" s="215"/>
    </row>
    <row r="18" spans="1:3" ht="15" thickBot="1" x14ac:dyDescent="0.35">
      <c r="A18" s="212"/>
      <c r="B18" s="319"/>
      <c r="C18" s="215"/>
    </row>
    <row r="19" spans="1:3" ht="16.8" thickTop="1" thickBot="1" x14ac:dyDescent="0.35">
      <c r="A19" s="212"/>
      <c r="B19" s="213"/>
      <c r="C19" s="215"/>
    </row>
    <row r="20" spans="1:3" ht="15" thickTop="1" x14ac:dyDescent="0.3">
      <c r="A20" s="212"/>
      <c r="B20" s="318" t="s">
        <v>267</v>
      </c>
      <c r="C20" s="215"/>
    </row>
    <row r="21" spans="1:3" ht="15" thickBot="1" x14ac:dyDescent="0.35">
      <c r="A21" s="212"/>
      <c r="B21" s="319"/>
      <c r="C21" s="215"/>
    </row>
    <row r="22" spans="1:3" ht="16.8" thickTop="1" thickBot="1" x14ac:dyDescent="0.35">
      <c r="A22" s="212"/>
      <c r="B22" s="213"/>
      <c r="C22" s="215"/>
    </row>
    <row r="23" spans="1:3" ht="15" thickTop="1" x14ac:dyDescent="0.3">
      <c r="A23" s="212"/>
      <c r="B23" s="318" t="s">
        <v>268</v>
      </c>
      <c r="C23" s="215"/>
    </row>
    <row r="24" spans="1:3" ht="15" thickBot="1" x14ac:dyDescent="0.35">
      <c r="A24" s="212"/>
      <c r="B24" s="319"/>
      <c r="C24" s="215"/>
    </row>
    <row r="25" spans="1:3" ht="16.8" thickTop="1" thickBot="1" x14ac:dyDescent="0.35">
      <c r="A25" s="212"/>
      <c r="B25" s="213"/>
      <c r="C25" s="215"/>
    </row>
    <row r="26" spans="1:3" ht="15" thickTop="1" x14ac:dyDescent="0.3">
      <c r="A26" s="212"/>
      <c r="B26" s="318" t="s">
        <v>269</v>
      </c>
      <c r="C26" s="215"/>
    </row>
    <row r="27" spans="1:3" ht="15" thickBot="1" x14ac:dyDescent="0.35">
      <c r="A27" s="212"/>
      <c r="B27" s="319"/>
      <c r="C27" s="215"/>
    </row>
    <row r="28" spans="1:3" ht="16.8" thickTop="1" thickBot="1" x14ac:dyDescent="0.35">
      <c r="A28" s="212"/>
      <c r="B28" s="213"/>
      <c r="C28" s="215"/>
    </row>
    <row r="29" spans="1:3" ht="15" thickTop="1" x14ac:dyDescent="0.3">
      <c r="A29" s="212"/>
      <c r="B29" s="318" t="s">
        <v>270</v>
      </c>
      <c r="C29" s="215"/>
    </row>
    <row r="30" spans="1:3" ht="15" thickBot="1" x14ac:dyDescent="0.35">
      <c r="A30" s="212"/>
      <c r="B30" s="319"/>
      <c r="C30" s="215"/>
    </row>
    <row r="31" spans="1:3" ht="16.8" thickTop="1" thickBot="1" x14ac:dyDescent="0.35">
      <c r="A31" s="212"/>
      <c r="B31" s="213"/>
      <c r="C31" s="215"/>
    </row>
    <row r="32" spans="1:3" ht="15" thickTop="1" x14ac:dyDescent="0.3">
      <c r="A32" s="212"/>
      <c r="B32" s="318" t="s">
        <v>271</v>
      </c>
      <c r="C32" s="215"/>
    </row>
    <row r="33" spans="1:3" ht="15" thickBot="1" x14ac:dyDescent="0.35">
      <c r="A33" s="212"/>
      <c r="B33" s="319"/>
      <c r="C33" s="215"/>
    </row>
    <row r="34" spans="1:3" ht="16.8" thickTop="1" thickBot="1" x14ac:dyDescent="0.35">
      <c r="A34" s="212"/>
      <c r="B34" s="213"/>
      <c r="C34" s="215"/>
    </row>
    <row r="35" spans="1:3" ht="15" thickTop="1" x14ac:dyDescent="0.3">
      <c r="A35" s="212"/>
      <c r="B35" s="318" t="s">
        <v>272</v>
      </c>
      <c r="C35" s="215"/>
    </row>
    <row r="36" spans="1:3" ht="15" thickBot="1" x14ac:dyDescent="0.35">
      <c r="A36" s="212"/>
      <c r="B36" s="319"/>
      <c r="C36" s="215"/>
    </row>
    <row r="37" spans="1:3" ht="16.8" thickTop="1" thickBot="1" x14ac:dyDescent="0.35">
      <c r="A37" s="212"/>
      <c r="B37" s="213"/>
      <c r="C37" s="215"/>
    </row>
    <row r="38" spans="1:3" ht="15" thickTop="1" x14ac:dyDescent="0.3">
      <c r="A38" s="212"/>
      <c r="B38" s="318" t="s">
        <v>273</v>
      </c>
      <c r="C38" s="215"/>
    </row>
    <row r="39" spans="1:3" ht="15" thickBot="1" x14ac:dyDescent="0.35">
      <c r="A39" s="212"/>
      <c r="B39" s="319"/>
      <c r="C39" s="215"/>
    </row>
    <row r="40" spans="1:3" ht="16.8" thickTop="1" thickBot="1" x14ac:dyDescent="0.35">
      <c r="A40" s="212"/>
      <c r="B40" s="213"/>
      <c r="C40" s="215"/>
    </row>
    <row r="41" spans="1:3" ht="15" thickTop="1" x14ac:dyDescent="0.3">
      <c r="A41" s="212"/>
      <c r="B41" s="318" t="s">
        <v>274</v>
      </c>
      <c r="C41" s="215"/>
    </row>
    <row r="42" spans="1:3" ht="15" thickBot="1" x14ac:dyDescent="0.35">
      <c r="A42" s="212"/>
      <c r="B42" s="319"/>
      <c r="C42" s="215"/>
    </row>
    <row r="43" spans="1:3" ht="16.8" thickTop="1" thickBot="1" x14ac:dyDescent="0.35">
      <c r="A43" s="212"/>
      <c r="B43" s="213"/>
      <c r="C43" s="215"/>
    </row>
    <row r="44" spans="1:3" ht="15" thickTop="1" x14ac:dyDescent="0.3">
      <c r="A44" s="212"/>
      <c r="B44" s="318" t="s">
        <v>275</v>
      </c>
      <c r="C44" s="215"/>
    </row>
    <row r="45" spans="1:3" ht="15" thickBot="1" x14ac:dyDescent="0.35">
      <c r="A45" s="212"/>
      <c r="B45" s="319"/>
      <c r="C45" s="215"/>
    </row>
    <row r="46" spans="1:3" ht="16.8" thickTop="1" thickBot="1" x14ac:dyDescent="0.35">
      <c r="A46" s="212"/>
      <c r="B46" s="213"/>
      <c r="C46" s="215"/>
    </row>
    <row r="47" spans="1:3" ht="15" thickTop="1" x14ac:dyDescent="0.3">
      <c r="A47" s="212"/>
      <c r="B47" s="318" t="s">
        <v>276</v>
      </c>
      <c r="C47" s="215"/>
    </row>
    <row r="48" spans="1:3" ht="15" thickBot="1" x14ac:dyDescent="0.35">
      <c r="A48" s="212"/>
      <c r="B48" s="319"/>
      <c r="C48" s="215"/>
    </row>
    <row r="49" spans="1:3" ht="16.8" thickTop="1" thickBot="1" x14ac:dyDescent="0.35">
      <c r="A49" s="212"/>
      <c r="B49" s="213"/>
      <c r="C49" s="215"/>
    </row>
    <row r="50" spans="1:3" ht="15" thickTop="1" x14ac:dyDescent="0.3">
      <c r="A50" s="212"/>
      <c r="B50" s="318" t="s">
        <v>277</v>
      </c>
      <c r="C50" s="215"/>
    </row>
    <row r="51" spans="1:3" ht="15" thickBot="1" x14ac:dyDescent="0.35">
      <c r="A51" s="212"/>
      <c r="B51" s="319"/>
      <c r="C51" s="215"/>
    </row>
    <row r="52" spans="1:3" ht="16.2" thickTop="1" x14ac:dyDescent="0.3">
      <c r="A52" s="212"/>
      <c r="B52" s="213"/>
      <c r="C52" s="215"/>
    </row>
    <row r="53" spans="1:3" x14ac:dyDescent="0.3">
      <c r="A53" s="212"/>
      <c r="B53" s="213"/>
      <c r="C53" s="215"/>
    </row>
    <row r="54" spans="1:3" x14ac:dyDescent="0.3">
      <c r="A54" s="212"/>
      <c r="B54" s="231"/>
      <c r="C54" s="215"/>
    </row>
    <row r="55" spans="1:3" x14ac:dyDescent="0.3">
      <c r="A55" s="212"/>
      <c r="B55" s="231"/>
      <c r="C55" s="215"/>
    </row>
    <row r="56" spans="1:3" x14ac:dyDescent="0.3">
      <c r="A56" s="212"/>
      <c r="B56" s="213"/>
      <c r="C56" s="215"/>
    </row>
    <row r="57" spans="1:3" x14ac:dyDescent="0.3">
      <c r="A57" s="212"/>
      <c r="B57" s="213"/>
      <c r="C57" s="215"/>
    </row>
    <row r="58" spans="1:3" x14ac:dyDescent="0.3">
      <c r="A58" s="212"/>
      <c r="B58" s="213"/>
      <c r="C58" s="215"/>
    </row>
    <row r="59" spans="1:3" x14ac:dyDescent="0.3">
      <c r="A59" s="212"/>
      <c r="B59" s="213"/>
      <c r="C59" s="215"/>
    </row>
    <row r="60" spans="1:3" x14ac:dyDescent="0.3">
      <c r="A60" s="212"/>
      <c r="B60" s="213"/>
      <c r="C60" s="215"/>
    </row>
    <row r="61" spans="1:3" x14ac:dyDescent="0.3">
      <c r="A61" s="212"/>
      <c r="B61" s="213"/>
      <c r="C61" s="215"/>
    </row>
    <row r="62" spans="1:3" x14ac:dyDescent="0.3">
      <c r="A62" s="212"/>
      <c r="B62" s="213"/>
      <c r="C62" s="215"/>
    </row>
    <row r="63" spans="1:3" x14ac:dyDescent="0.3">
      <c r="A63" s="212"/>
      <c r="B63" s="213"/>
      <c r="C63" s="215"/>
    </row>
    <row r="64" spans="1:3" x14ac:dyDescent="0.3">
      <c r="A64" s="212"/>
      <c r="B64" s="213"/>
      <c r="C64" s="215"/>
    </row>
    <row r="65" spans="1:3" x14ac:dyDescent="0.3">
      <c r="A65" s="212"/>
      <c r="B65" s="213"/>
      <c r="C65" s="215"/>
    </row>
    <row r="66" spans="1:3" x14ac:dyDescent="0.3">
      <c r="A66" s="212"/>
      <c r="B66" s="213"/>
      <c r="C66" s="215"/>
    </row>
    <row r="67" spans="1:3" x14ac:dyDescent="0.3">
      <c r="A67" s="212"/>
      <c r="B67" s="213"/>
      <c r="C67" s="215"/>
    </row>
    <row r="68" spans="1:3" x14ac:dyDescent="0.3">
      <c r="A68" s="212"/>
      <c r="B68" s="213"/>
      <c r="C68" s="215"/>
    </row>
    <row r="69" spans="1:3" x14ac:dyDescent="0.3">
      <c r="A69" s="212"/>
      <c r="B69" s="213"/>
      <c r="C69" s="215"/>
    </row>
    <row r="70" spans="1:3" x14ac:dyDescent="0.3">
      <c r="A70" s="212"/>
      <c r="B70" s="213"/>
      <c r="C70" s="215"/>
    </row>
    <row r="71" spans="1:3" x14ac:dyDescent="0.3">
      <c r="A71" s="212"/>
      <c r="B71" s="213"/>
      <c r="C71" s="215"/>
    </row>
    <row r="72" spans="1:3" x14ac:dyDescent="0.3">
      <c r="A72" s="212"/>
      <c r="B72" s="213"/>
      <c r="C72" s="215"/>
    </row>
    <row r="73" spans="1:3" x14ac:dyDescent="0.3">
      <c r="C73" s="218"/>
    </row>
    <row r="74" spans="1:3" x14ac:dyDescent="0.3">
      <c r="C74" s="218"/>
    </row>
    <row r="75" spans="1:3" x14ac:dyDescent="0.3">
      <c r="C75" s="218"/>
    </row>
    <row r="76" spans="1:3" x14ac:dyDescent="0.3">
      <c r="C76" s="218"/>
    </row>
    <row r="77" spans="1:3" x14ac:dyDescent="0.3">
      <c r="C77" s="218"/>
    </row>
    <row r="78" spans="1:3" x14ac:dyDescent="0.3">
      <c r="C78" s="218"/>
    </row>
    <row r="79" spans="1:3" x14ac:dyDescent="0.3">
      <c r="C79" s="218"/>
    </row>
    <row r="80" spans="1:3" x14ac:dyDescent="0.3">
      <c r="C80" s="218"/>
    </row>
    <row r="81" spans="3:3" x14ac:dyDescent="0.3">
      <c r="C81" s="218"/>
    </row>
    <row r="82" spans="3:3" x14ac:dyDescent="0.3">
      <c r="C82" s="218"/>
    </row>
    <row r="83" spans="3:3" x14ac:dyDescent="0.3">
      <c r="C83" s="218"/>
    </row>
    <row r="84" spans="3:3" x14ac:dyDescent="0.3">
      <c r="C84" s="218"/>
    </row>
    <row r="85" spans="3:3" x14ac:dyDescent="0.3">
      <c r="C85" s="218"/>
    </row>
    <row r="86" spans="3:3" x14ac:dyDescent="0.3">
      <c r="C86" s="218"/>
    </row>
    <row r="87" spans="3:3" x14ac:dyDescent="0.3">
      <c r="C87" s="218"/>
    </row>
    <row r="88" spans="3:3" x14ac:dyDescent="0.3">
      <c r="C88" s="218"/>
    </row>
    <row r="89" spans="3:3" x14ac:dyDescent="0.3">
      <c r="C89" s="218"/>
    </row>
    <row r="90" spans="3:3" x14ac:dyDescent="0.3">
      <c r="C90" s="218"/>
    </row>
    <row r="91" spans="3:3" x14ac:dyDescent="0.3">
      <c r="C91" s="218"/>
    </row>
    <row r="92" spans="3:3" x14ac:dyDescent="0.3">
      <c r="C92" s="218"/>
    </row>
    <row r="93" spans="3:3" x14ac:dyDescent="0.3">
      <c r="C93" s="218"/>
    </row>
    <row r="94" spans="3:3" x14ac:dyDescent="0.3">
      <c r="C94" s="218"/>
    </row>
    <row r="95" spans="3:3" x14ac:dyDescent="0.3">
      <c r="C95" s="218"/>
    </row>
    <row r="96" spans="3:3" x14ac:dyDescent="0.3">
      <c r="C96" s="218"/>
    </row>
    <row r="97" spans="3:3" x14ac:dyDescent="0.3">
      <c r="C97" s="218"/>
    </row>
    <row r="98" spans="3:3" x14ac:dyDescent="0.3">
      <c r="C98" s="218"/>
    </row>
    <row r="99" spans="3:3" x14ac:dyDescent="0.3">
      <c r="C99" s="218"/>
    </row>
    <row r="100" spans="3:3" x14ac:dyDescent="0.3">
      <c r="C100" s="218"/>
    </row>
    <row r="101" spans="3:3" x14ac:dyDescent="0.3">
      <c r="C101" s="218"/>
    </row>
    <row r="102" spans="3:3" x14ac:dyDescent="0.3">
      <c r="C102" s="218"/>
    </row>
    <row r="103" spans="3:3" x14ac:dyDescent="0.3">
      <c r="C103" s="218"/>
    </row>
    <row r="104" spans="3:3" x14ac:dyDescent="0.3">
      <c r="C104" s="218"/>
    </row>
    <row r="105" spans="3:3" x14ac:dyDescent="0.3">
      <c r="C105" s="218"/>
    </row>
    <row r="106" spans="3:3" x14ac:dyDescent="0.3">
      <c r="C106" s="218"/>
    </row>
    <row r="107" spans="3:3" x14ac:dyDescent="0.3">
      <c r="C107" s="218"/>
    </row>
    <row r="108" spans="3:3" x14ac:dyDescent="0.3">
      <c r="C108" s="218"/>
    </row>
    <row r="109" spans="3:3" x14ac:dyDescent="0.3">
      <c r="C109" s="218"/>
    </row>
    <row r="110" spans="3:3" x14ac:dyDescent="0.3">
      <c r="C110" s="218"/>
    </row>
    <row r="111" spans="3:3" x14ac:dyDescent="0.3">
      <c r="C111" s="218"/>
    </row>
    <row r="112" spans="3:3" x14ac:dyDescent="0.3">
      <c r="C112" s="218"/>
    </row>
    <row r="113" spans="3:3" x14ac:dyDescent="0.3">
      <c r="C113" s="218"/>
    </row>
    <row r="114" spans="3:3" x14ac:dyDescent="0.3">
      <c r="C114" s="218"/>
    </row>
    <row r="115" spans="3:3" x14ac:dyDescent="0.3">
      <c r="C115" s="218"/>
    </row>
    <row r="116" spans="3:3" x14ac:dyDescent="0.3">
      <c r="C116" s="218"/>
    </row>
    <row r="117" spans="3:3" x14ac:dyDescent="0.3">
      <c r="C117" s="218"/>
    </row>
    <row r="118" spans="3:3" x14ac:dyDescent="0.3">
      <c r="C118" s="218"/>
    </row>
    <row r="119" spans="3:3" x14ac:dyDescent="0.3">
      <c r="C119" s="218"/>
    </row>
    <row r="120" spans="3:3" x14ac:dyDescent="0.3">
      <c r="C120" s="218"/>
    </row>
    <row r="121" spans="3:3" x14ac:dyDescent="0.3">
      <c r="C121" s="218"/>
    </row>
    <row r="122" spans="3:3" x14ac:dyDescent="0.3">
      <c r="C122" s="218"/>
    </row>
    <row r="123" spans="3:3" x14ac:dyDescent="0.3">
      <c r="C123" s="218"/>
    </row>
    <row r="124" spans="3:3" x14ac:dyDescent="0.3">
      <c r="C124" s="218"/>
    </row>
    <row r="125" spans="3:3" x14ac:dyDescent="0.3">
      <c r="C125" s="218"/>
    </row>
    <row r="126" spans="3:3" x14ac:dyDescent="0.3">
      <c r="C126" s="218"/>
    </row>
    <row r="127" spans="3:3" x14ac:dyDescent="0.3">
      <c r="C127" s="218"/>
    </row>
    <row r="128" spans="3:3" x14ac:dyDescent="0.3">
      <c r="C128" s="218"/>
    </row>
    <row r="129" spans="3:3" x14ac:dyDescent="0.3">
      <c r="C129" s="218"/>
    </row>
    <row r="130" spans="3:3" x14ac:dyDescent="0.3">
      <c r="C130" s="218"/>
    </row>
    <row r="131" spans="3:3" x14ac:dyDescent="0.3">
      <c r="C131" s="218"/>
    </row>
    <row r="132" spans="3:3" x14ac:dyDescent="0.3">
      <c r="C132" s="218"/>
    </row>
    <row r="133" spans="3:3" x14ac:dyDescent="0.3">
      <c r="C133" s="218"/>
    </row>
    <row r="134" spans="3:3" x14ac:dyDescent="0.3">
      <c r="C134" s="218"/>
    </row>
    <row r="135" spans="3:3" x14ac:dyDescent="0.3">
      <c r="C135" s="218"/>
    </row>
    <row r="136" spans="3:3" x14ac:dyDescent="0.3">
      <c r="C136" s="218"/>
    </row>
    <row r="137" spans="3:3" x14ac:dyDescent="0.3">
      <c r="C137" s="218"/>
    </row>
    <row r="138" spans="3:3" x14ac:dyDescent="0.3">
      <c r="C138" s="218"/>
    </row>
    <row r="139" spans="3:3" x14ac:dyDescent="0.3">
      <c r="C139" s="218"/>
    </row>
    <row r="140" spans="3:3" x14ac:dyDescent="0.3">
      <c r="C140" s="218"/>
    </row>
    <row r="141" spans="3:3" x14ac:dyDescent="0.3">
      <c r="C141" s="218"/>
    </row>
    <row r="142" spans="3:3" x14ac:dyDescent="0.3">
      <c r="C142" s="218"/>
    </row>
    <row r="143" spans="3:3" x14ac:dyDescent="0.3">
      <c r="C143" s="218"/>
    </row>
    <row r="144" spans="3:3" x14ac:dyDescent="0.3">
      <c r="C144" s="218"/>
    </row>
    <row r="145" spans="3:3" x14ac:dyDescent="0.3">
      <c r="C145" s="218"/>
    </row>
    <row r="146" spans="3:3" x14ac:dyDescent="0.3">
      <c r="C146" s="218"/>
    </row>
    <row r="147" spans="3:3" x14ac:dyDescent="0.3">
      <c r="C147" s="218"/>
    </row>
    <row r="148" spans="3:3" x14ac:dyDescent="0.3">
      <c r="C148" s="218"/>
    </row>
    <row r="149" spans="3:3" x14ac:dyDescent="0.3">
      <c r="C149" s="218"/>
    </row>
    <row r="150" spans="3:3" x14ac:dyDescent="0.3">
      <c r="C150" s="218"/>
    </row>
    <row r="151" spans="3:3" x14ac:dyDescent="0.3">
      <c r="C151" s="218"/>
    </row>
    <row r="152" spans="3:3" x14ac:dyDescent="0.3">
      <c r="C152" s="218"/>
    </row>
    <row r="153" spans="3:3" x14ac:dyDescent="0.3">
      <c r="C153" s="218"/>
    </row>
    <row r="154" spans="3:3" x14ac:dyDescent="0.3">
      <c r="C154" s="218"/>
    </row>
    <row r="155" spans="3:3" x14ac:dyDescent="0.3">
      <c r="C155" s="218"/>
    </row>
    <row r="156" spans="3:3" x14ac:dyDescent="0.3">
      <c r="C156" s="218"/>
    </row>
    <row r="157" spans="3:3" x14ac:dyDescent="0.3">
      <c r="C157" s="218"/>
    </row>
    <row r="158" spans="3:3" x14ac:dyDescent="0.3">
      <c r="C158" s="218"/>
    </row>
    <row r="159" spans="3:3" x14ac:dyDescent="0.3">
      <c r="C159" s="218"/>
    </row>
    <row r="160" spans="3:3" x14ac:dyDescent="0.3">
      <c r="C160" s="218"/>
    </row>
    <row r="161" spans="3:3" x14ac:dyDescent="0.3">
      <c r="C161" s="218"/>
    </row>
    <row r="162" spans="3:3" x14ac:dyDescent="0.3">
      <c r="C162" s="218"/>
    </row>
    <row r="163" spans="3:3" x14ac:dyDescent="0.3">
      <c r="C163" s="218"/>
    </row>
    <row r="164" spans="3:3" x14ac:dyDescent="0.3">
      <c r="C164" s="218"/>
    </row>
    <row r="165" spans="3:3" x14ac:dyDescent="0.3">
      <c r="C165" s="218"/>
    </row>
    <row r="166" spans="3:3" x14ac:dyDescent="0.3">
      <c r="C166" s="218"/>
    </row>
    <row r="167" spans="3:3" x14ac:dyDescent="0.3">
      <c r="C167" s="218"/>
    </row>
    <row r="168" spans="3:3" x14ac:dyDescent="0.3">
      <c r="C168" s="218"/>
    </row>
    <row r="169" spans="3:3" x14ac:dyDescent="0.3">
      <c r="C169" s="218"/>
    </row>
    <row r="170" spans="3:3" x14ac:dyDescent="0.3">
      <c r="C170" s="218"/>
    </row>
    <row r="171" spans="3:3" x14ac:dyDescent="0.3">
      <c r="C171" s="218"/>
    </row>
    <row r="172" spans="3:3" x14ac:dyDescent="0.3">
      <c r="C172" s="218"/>
    </row>
    <row r="173" spans="3:3" x14ac:dyDescent="0.3">
      <c r="C173" s="218"/>
    </row>
    <row r="174" spans="3:3" x14ac:dyDescent="0.3">
      <c r="C174" s="218"/>
    </row>
    <row r="175" spans="3:3" x14ac:dyDescent="0.3">
      <c r="C175" s="218"/>
    </row>
    <row r="176" spans="3:3" x14ac:dyDescent="0.3">
      <c r="C176" s="218"/>
    </row>
    <row r="177" spans="3:3" x14ac:dyDescent="0.3">
      <c r="C177" s="218"/>
    </row>
    <row r="178" spans="3:3" x14ac:dyDescent="0.3">
      <c r="C178" s="218"/>
    </row>
    <row r="179" spans="3:3" x14ac:dyDescent="0.3">
      <c r="C179" s="218"/>
    </row>
    <row r="180" spans="3:3" x14ac:dyDescent="0.3">
      <c r="C180" s="218"/>
    </row>
    <row r="181" spans="3:3" x14ac:dyDescent="0.3">
      <c r="C181" s="218"/>
    </row>
    <row r="182" spans="3:3" x14ac:dyDescent="0.3">
      <c r="C182" s="218"/>
    </row>
    <row r="183" spans="3:3" x14ac:dyDescent="0.3">
      <c r="C183" s="218"/>
    </row>
    <row r="184" spans="3:3" x14ac:dyDescent="0.3">
      <c r="C184" s="218"/>
    </row>
    <row r="185" spans="3:3" x14ac:dyDescent="0.3">
      <c r="C185" s="218"/>
    </row>
    <row r="186" spans="3:3" x14ac:dyDescent="0.3">
      <c r="C186" s="218"/>
    </row>
    <row r="187" spans="3:3" x14ac:dyDescent="0.3">
      <c r="C187" s="218"/>
    </row>
    <row r="188" spans="3:3" x14ac:dyDescent="0.3">
      <c r="C188" s="218"/>
    </row>
    <row r="189" spans="3:3" x14ac:dyDescent="0.3">
      <c r="C189" s="218"/>
    </row>
    <row r="190" spans="3:3" x14ac:dyDescent="0.3">
      <c r="C190" s="218"/>
    </row>
    <row r="191" spans="3:3" x14ac:dyDescent="0.3">
      <c r="C191" s="218"/>
    </row>
    <row r="192" spans="3:3" x14ac:dyDescent="0.3">
      <c r="C192" s="218"/>
    </row>
    <row r="193" spans="3:3" x14ac:dyDescent="0.3">
      <c r="C193" s="218"/>
    </row>
    <row r="194" spans="3:3" x14ac:dyDescent="0.3">
      <c r="C194" s="218"/>
    </row>
    <row r="195" spans="3:3" x14ac:dyDescent="0.3">
      <c r="C195" s="218"/>
    </row>
    <row r="196" spans="3:3" x14ac:dyDescent="0.3">
      <c r="C196" s="218"/>
    </row>
    <row r="197" spans="3:3" x14ac:dyDescent="0.3">
      <c r="C197" s="218"/>
    </row>
    <row r="198" spans="3:3" x14ac:dyDescent="0.3">
      <c r="C198" s="218"/>
    </row>
    <row r="199" spans="3:3" x14ac:dyDescent="0.3">
      <c r="C199" s="218"/>
    </row>
    <row r="200" spans="3:3" x14ac:dyDescent="0.3">
      <c r="C200" s="218"/>
    </row>
    <row r="201" spans="3:3" x14ac:dyDescent="0.3">
      <c r="C201" s="218"/>
    </row>
    <row r="202" spans="3:3" x14ac:dyDescent="0.3">
      <c r="C202" s="218"/>
    </row>
    <row r="203" spans="3:3" x14ac:dyDescent="0.3">
      <c r="C203" s="218"/>
    </row>
    <row r="204" spans="3:3" x14ac:dyDescent="0.3">
      <c r="C204" s="218"/>
    </row>
    <row r="205" spans="3:3" x14ac:dyDescent="0.3">
      <c r="C205" s="218"/>
    </row>
    <row r="206" spans="3:3" x14ac:dyDescent="0.3">
      <c r="C206" s="218"/>
    </row>
    <row r="207" spans="3:3" x14ac:dyDescent="0.3">
      <c r="C207" s="218"/>
    </row>
    <row r="208" spans="3:3" x14ac:dyDescent="0.3">
      <c r="C208" s="218"/>
    </row>
    <row r="209" spans="3:3" x14ac:dyDescent="0.3">
      <c r="C209" s="218"/>
    </row>
    <row r="210" spans="3:3" x14ac:dyDescent="0.3">
      <c r="C210" s="218"/>
    </row>
    <row r="211" spans="3:3" x14ac:dyDescent="0.3">
      <c r="C211" s="218"/>
    </row>
    <row r="212" spans="3:3" x14ac:dyDescent="0.3">
      <c r="C212" s="218"/>
    </row>
    <row r="213" spans="3:3" x14ac:dyDescent="0.3">
      <c r="C213" s="218"/>
    </row>
    <row r="214" spans="3:3" x14ac:dyDescent="0.3">
      <c r="C214" s="218"/>
    </row>
    <row r="215" spans="3:3" x14ac:dyDescent="0.3">
      <c r="C215" s="218"/>
    </row>
    <row r="216" spans="3:3" x14ac:dyDescent="0.3">
      <c r="C216" s="218"/>
    </row>
    <row r="217" spans="3:3" x14ac:dyDescent="0.3">
      <c r="C217" s="218"/>
    </row>
    <row r="218" spans="3:3" x14ac:dyDescent="0.3">
      <c r="C218" s="218"/>
    </row>
    <row r="219" spans="3:3" x14ac:dyDescent="0.3">
      <c r="C219" s="218"/>
    </row>
    <row r="220" spans="3:3" x14ac:dyDescent="0.3">
      <c r="C220" s="218"/>
    </row>
    <row r="221" spans="3:3" x14ac:dyDescent="0.3">
      <c r="C221" s="218"/>
    </row>
    <row r="222" spans="3:3" x14ac:dyDescent="0.3">
      <c r="C222" s="218"/>
    </row>
    <row r="223" spans="3:3" x14ac:dyDescent="0.3">
      <c r="C223" s="218"/>
    </row>
    <row r="224" spans="3:3" x14ac:dyDescent="0.3">
      <c r="C224" s="218"/>
    </row>
    <row r="225" spans="3:3" x14ac:dyDescent="0.3">
      <c r="C225" s="218"/>
    </row>
    <row r="226" spans="3:3" x14ac:dyDescent="0.3">
      <c r="C226" s="218"/>
    </row>
    <row r="227" spans="3:3" x14ac:dyDescent="0.3">
      <c r="C227" s="218"/>
    </row>
    <row r="228" spans="3:3" x14ac:dyDescent="0.3">
      <c r="C228" s="218"/>
    </row>
    <row r="229" spans="3:3" x14ac:dyDescent="0.3">
      <c r="C229" s="218"/>
    </row>
    <row r="230" spans="3:3" x14ac:dyDescent="0.3">
      <c r="C230" s="218"/>
    </row>
    <row r="231" spans="3:3" x14ac:dyDescent="0.3">
      <c r="C231" s="218"/>
    </row>
    <row r="232" spans="3:3" x14ac:dyDescent="0.3">
      <c r="C232" s="218"/>
    </row>
    <row r="233" spans="3:3" x14ac:dyDescent="0.3">
      <c r="C233" s="218"/>
    </row>
    <row r="234" spans="3:3" x14ac:dyDescent="0.3">
      <c r="C234" s="218"/>
    </row>
    <row r="235" spans="3:3" x14ac:dyDescent="0.3">
      <c r="C235" s="218"/>
    </row>
    <row r="236" spans="3:3" x14ac:dyDescent="0.3">
      <c r="C236" s="218"/>
    </row>
    <row r="237" spans="3:3" x14ac:dyDescent="0.3">
      <c r="C237" s="218"/>
    </row>
    <row r="238" spans="3:3" x14ac:dyDescent="0.3">
      <c r="C238" s="218"/>
    </row>
    <row r="239" spans="3:3" x14ac:dyDescent="0.3">
      <c r="C239" s="218"/>
    </row>
    <row r="240" spans="3:3" x14ac:dyDescent="0.3">
      <c r="C240" s="218"/>
    </row>
    <row r="241" spans="3:3" x14ac:dyDescent="0.3">
      <c r="C241" s="218"/>
    </row>
    <row r="242" spans="3:3" x14ac:dyDescent="0.3">
      <c r="C242" s="218"/>
    </row>
    <row r="243" spans="3:3" x14ac:dyDescent="0.3">
      <c r="C243" s="218"/>
    </row>
    <row r="244" spans="3:3" x14ac:dyDescent="0.3">
      <c r="C244" s="218"/>
    </row>
    <row r="245" spans="3:3" x14ac:dyDescent="0.3">
      <c r="C245" s="218"/>
    </row>
    <row r="246" spans="3:3" x14ac:dyDescent="0.3">
      <c r="C246" s="218"/>
    </row>
    <row r="247" spans="3:3" x14ac:dyDescent="0.3">
      <c r="C247" s="218"/>
    </row>
    <row r="248" spans="3:3" x14ac:dyDescent="0.3">
      <c r="C248" s="218"/>
    </row>
    <row r="249" spans="3:3" x14ac:dyDescent="0.3">
      <c r="C249" s="218"/>
    </row>
    <row r="250" spans="3:3" x14ac:dyDescent="0.3">
      <c r="C250" s="218"/>
    </row>
    <row r="251" spans="3:3" x14ac:dyDescent="0.3">
      <c r="C251" s="218"/>
    </row>
    <row r="252" spans="3:3" x14ac:dyDescent="0.3">
      <c r="C252" s="218"/>
    </row>
    <row r="253" spans="3:3" x14ac:dyDescent="0.3">
      <c r="C253" s="218"/>
    </row>
    <row r="254" spans="3:3" x14ac:dyDescent="0.3">
      <c r="C254" s="218"/>
    </row>
    <row r="255" spans="3:3" x14ac:dyDescent="0.3">
      <c r="C255" s="218"/>
    </row>
    <row r="256" spans="3:3" x14ac:dyDescent="0.3">
      <c r="C256" s="218"/>
    </row>
    <row r="257" spans="3:3" x14ac:dyDescent="0.3">
      <c r="C257" s="218"/>
    </row>
    <row r="258" spans="3:3" x14ac:dyDescent="0.3">
      <c r="C258" s="218"/>
    </row>
    <row r="259" spans="3:3" x14ac:dyDescent="0.3">
      <c r="C259" s="218"/>
    </row>
  </sheetData>
  <mergeCells count="17">
    <mergeCell ref="B35:B36"/>
    <mergeCell ref="B2:B3"/>
    <mergeCell ref="B5:B6"/>
    <mergeCell ref="B8:B9"/>
    <mergeCell ref="B11:B12"/>
    <mergeCell ref="B14:B15"/>
    <mergeCell ref="B17:B18"/>
    <mergeCell ref="B20:B21"/>
    <mergeCell ref="B23:B24"/>
    <mergeCell ref="B26:B27"/>
    <mergeCell ref="B29:B30"/>
    <mergeCell ref="B32:B33"/>
    <mergeCell ref="B38:B39"/>
    <mergeCell ref="B41:B42"/>
    <mergeCell ref="B44:B45"/>
    <mergeCell ref="B47:B48"/>
    <mergeCell ref="B50:B51"/>
  </mergeCells>
  <hyperlinks>
    <hyperlink ref="H8" r:id="rId1" xr:uid="{FCEF9F98-9359-4694-BC31-4FE4C83A88C7}"/>
    <hyperlink ref="B2" location="Panel!C4" display="HOME" xr:uid="{B2F9005F-41E9-4578-BBEC-5F6370A938E6}"/>
    <hyperlink ref="B5" location="Panel!C4" display="HOME" xr:uid="{D38740B0-8B7C-4322-B3CA-45D81134A38D}"/>
    <hyperlink ref="B17" location="Panel!C4" display="HOME" xr:uid="{C4FCB400-1AC4-4D94-924E-B976E324CC9E}"/>
    <hyperlink ref="B20" location="Panel!C4" display="HOME" xr:uid="{67674983-1184-4684-87BC-97DE88F0B05C}"/>
    <hyperlink ref="B23" location="Panel!C4" display="HOME" xr:uid="{1FABB434-C3B9-4CED-B3E1-C02C4FD71EAC}"/>
    <hyperlink ref="B5:B6" location="data_formula_legend!A1" display="DATA" xr:uid="{A0AE846D-76D0-4C61-B67E-92F8EC03EDBE}"/>
    <hyperlink ref="B17:B18" location="day_1!A1" display="DAY 1" xr:uid="{BBB20828-4391-408E-87B2-26AC149A5D8B}"/>
    <hyperlink ref="B8" location="Panel!C4" display="HOME" xr:uid="{438CFB54-3E8C-4CF3-AAD6-A1E8633244FA}"/>
    <hyperlink ref="B8:B9" location="Runsheet!A1" display="RUNSHEET" xr:uid="{219B5384-E9D3-4CC3-9B46-3447D9C023B9}"/>
    <hyperlink ref="B20:B21" location="day_2!A1" display="DAY 2" xr:uid="{9166117D-A5B3-4D02-89AE-B8178BA6FE3A}"/>
    <hyperlink ref="B23:B24" location="day_3!A1" display="DAY 3" xr:uid="{1A4F43AE-F2A5-4B56-81C9-507CDEAA8B20}"/>
    <hyperlink ref="B2:B3" location="HOME!A1" display="HOME" xr:uid="{97CE2B37-0150-41F4-A9C5-9D12FAA8C324}"/>
    <hyperlink ref="B26" location="Panel!C4" display="HOME" xr:uid="{37329A62-C518-4C29-95B5-7FACB6DF40A5}"/>
    <hyperlink ref="B26:B27" location="day_5!A1" display="DAY 4" xr:uid="{3F5E1894-02F4-4AE8-B169-CE2F5E892594}"/>
    <hyperlink ref="B29" location="Panel!C4" display="HOME" xr:uid="{8E83BA94-706F-42A4-8C70-0342EBF9EE04}"/>
    <hyperlink ref="B29:B30" location="day_5!A1" display="DAY 5" xr:uid="{2F4100F2-23FD-42C4-AE93-104B3234E0F9}"/>
    <hyperlink ref="B32" location="Panel!C4" display="HOME" xr:uid="{672039AC-76A0-4CDD-BC26-EABAFC41EF8B}"/>
    <hyperlink ref="B32:B33" location="day_6!A1" display="DAY 6" xr:uid="{665A87A6-069D-4F97-A722-B57DCC76D455}"/>
    <hyperlink ref="B14:B15" location="'Food Serves'!A1" display="FOOD SERVES" xr:uid="{3903F751-9639-4357-B83E-7407DFB09707}"/>
    <hyperlink ref="B11:B12" location="'Rest Runsheet Food'!A1" display="RESTAURANT RUNSHEET" xr:uid="{4D91EE8F-2738-4BFA-8254-B34493D1B41C}"/>
    <hyperlink ref="B14" location="Panel!C4" display="HOME" xr:uid="{42742CF4-39A7-441E-94CA-1A2C890FBFB8}"/>
    <hyperlink ref="B11" location="Panel!C4" display="HOME" xr:uid="{73DDA7B9-685F-454F-B914-5BE169559932}"/>
    <hyperlink ref="B35" location="Panel!C4" display="HOME" xr:uid="{90017372-9FF5-4EA1-BCF8-E7361AEDED34}"/>
    <hyperlink ref="B35:B36" location="day_7!A1" display="DAY 7" xr:uid="{34BB6BCC-42AF-46A6-88AB-01491C269B64}"/>
    <hyperlink ref="B38" location="Panel!C4" display="HOME" xr:uid="{97CD3167-9F7F-4600-B12A-8455273F17DA}"/>
    <hyperlink ref="B38:B39" location="day_8!A1" display="DAY 8" xr:uid="{B498A5D6-17C2-4FE9-B0BD-635B679F48AC}"/>
    <hyperlink ref="B41" location="Panel!C4" display="HOME" xr:uid="{D04B0212-8B89-4494-B454-BFA1B9F8A64A}"/>
    <hyperlink ref="B41:B42" location="day_9!A1" display="DAY 9" xr:uid="{F68CE209-5E76-4131-943D-2DFD6BDC63C2}"/>
    <hyperlink ref="B44" location="Panel!C4" display="HOME" xr:uid="{F9CFFE51-C752-4167-81BA-4B20E39CFA2D}"/>
    <hyperlink ref="B44:B45" location="day_10!A1" display="DAY 10" xr:uid="{ED889061-EC58-4381-89F4-D69CB048F882}"/>
    <hyperlink ref="B47" location="Panel!C4" display="HOME" xr:uid="{30D54CF9-4154-43E7-BABA-0817A553F771}"/>
    <hyperlink ref="B47:B48" location="day_11!A1" display="DAY 11" xr:uid="{50359B55-DA47-4C1D-A492-A54EBEAF1ACB}"/>
    <hyperlink ref="B50" location="Panel!C4" display="HOME" xr:uid="{7DAB96B9-B8B9-450E-AE66-482784EE6C73}"/>
    <hyperlink ref="B50:B51" location="day_12!A1" display="DAY 12" xr:uid="{5409D2E1-9CAC-4570-A699-CF63EB8CA489}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92680-C437-46AD-A2A5-7ADBBF8C30DD}">
  <sheetPr codeName="Sheet6"/>
  <dimension ref="A1:C259"/>
  <sheetViews>
    <sheetView workbookViewId="0">
      <selection activeCell="B2" sqref="B2:B3"/>
    </sheetView>
  </sheetViews>
  <sheetFormatPr defaultRowHeight="15.6" x14ac:dyDescent="0.3"/>
  <cols>
    <col min="1" max="1" width="1.77734375" style="216" customWidth="1"/>
    <col min="2" max="2" width="15.77734375" style="217" customWidth="1"/>
    <col min="3" max="3" width="1.77734375" style="216" customWidth="1"/>
  </cols>
  <sheetData>
    <row r="1" spans="1:3" ht="16.2" thickBot="1" x14ac:dyDescent="0.35">
      <c r="A1" s="212"/>
      <c r="B1" s="213"/>
      <c r="C1" s="212"/>
    </row>
    <row r="2" spans="1:3" ht="15" customHeight="1" thickTop="1" x14ac:dyDescent="0.3">
      <c r="A2" s="212"/>
      <c r="B2" s="318" t="s">
        <v>264</v>
      </c>
      <c r="C2" s="212"/>
    </row>
    <row r="3" spans="1:3" ht="15" customHeight="1" thickBot="1" x14ac:dyDescent="0.35">
      <c r="A3" s="212"/>
      <c r="B3" s="319"/>
      <c r="C3" s="212"/>
    </row>
    <row r="4" spans="1:3" ht="16.8" thickTop="1" thickBot="1" x14ac:dyDescent="0.35">
      <c r="A4" s="212"/>
      <c r="B4" s="213"/>
      <c r="C4" s="212"/>
    </row>
    <row r="5" spans="1:3" ht="15" customHeight="1" thickTop="1" x14ac:dyDescent="0.3">
      <c r="A5" s="212"/>
      <c r="B5" s="320" t="s">
        <v>247</v>
      </c>
      <c r="C5" s="212"/>
    </row>
    <row r="6" spans="1:3" ht="15" customHeight="1" thickBot="1" x14ac:dyDescent="0.35">
      <c r="A6" s="212"/>
      <c r="B6" s="321"/>
      <c r="C6" s="212"/>
    </row>
    <row r="7" spans="1:3" ht="16.8" thickTop="1" thickBot="1" x14ac:dyDescent="0.35">
      <c r="A7" s="214"/>
      <c r="B7" s="213"/>
      <c r="C7" s="214"/>
    </row>
    <row r="8" spans="1:3" ht="15" customHeight="1" thickTop="1" x14ac:dyDescent="0.3">
      <c r="A8" s="212"/>
      <c r="B8" s="318" t="s">
        <v>265</v>
      </c>
      <c r="C8" s="212"/>
    </row>
    <row r="9" spans="1:3" ht="15" customHeight="1" thickBot="1" x14ac:dyDescent="0.35">
      <c r="A9" s="212"/>
      <c r="B9" s="319"/>
      <c r="C9" s="215"/>
    </row>
    <row r="10" spans="1:3" ht="16.8" thickTop="1" thickBot="1" x14ac:dyDescent="0.35">
      <c r="A10" s="212"/>
      <c r="B10" s="213"/>
      <c r="C10" s="215"/>
    </row>
    <row r="11" spans="1:3" ht="15" customHeight="1" thickTop="1" x14ac:dyDescent="0.3">
      <c r="A11" s="212"/>
      <c r="B11" s="318" t="s">
        <v>511</v>
      </c>
      <c r="C11" s="215"/>
    </row>
    <row r="12" spans="1:3" ht="15" customHeight="1" thickBot="1" x14ac:dyDescent="0.35">
      <c r="A12" s="212"/>
      <c r="B12" s="319"/>
      <c r="C12" s="215"/>
    </row>
    <row r="13" spans="1:3" ht="16.8" thickTop="1" thickBot="1" x14ac:dyDescent="0.35">
      <c r="A13" s="212"/>
      <c r="B13" s="213"/>
      <c r="C13" s="215"/>
    </row>
    <row r="14" spans="1:3" ht="15" customHeight="1" thickTop="1" x14ac:dyDescent="0.3">
      <c r="A14" s="212"/>
      <c r="B14" s="318" t="s">
        <v>512</v>
      </c>
      <c r="C14" s="215"/>
    </row>
    <row r="15" spans="1:3" ht="15" customHeight="1" thickBot="1" x14ac:dyDescent="0.35">
      <c r="A15" s="212"/>
      <c r="B15" s="319"/>
      <c r="C15" s="215"/>
    </row>
    <row r="16" spans="1:3" ht="16.8" thickTop="1" thickBot="1" x14ac:dyDescent="0.35">
      <c r="A16" s="212"/>
      <c r="B16" s="213"/>
      <c r="C16" s="215"/>
    </row>
    <row r="17" spans="1:3" ht="15" customHeight="1" thickTop="1" x14ac:dyDescent="0.3">
      <c r="A17" s="212"/>
      <c r="B17" s="318" t="s">
        <v>266</v>
      </c>
      <c r="C17" s="215"/>
    </row>
    <row r="18" spans="1:3" ht="15" customHeight="1" thickBot="1" x14ac:dyDescent="0.35">
      <c r="A18" s="212"/>
      <c r="B18" s="319"/>
      <c r="C18" s="215"/>
    </row>
    <row r="19" spans="1:3" ht="16.8" thickTop="1" thickBot="1" x14ac:dyDescent="0.35">
      <c r="A19" s="212"/>
      <c r="B19" s="213"/>
      <c r="C19" s="215"/>
    </row>
    <row r="20" spans="1:3" ht="15" customHeight="1" thickTop="1" x14ac:dyDescent="0.3">
      <c r="A20" s="212"/>
      <c r="B20" s="318" t="s">
        <v>267</v>
      </c>
      <c r="C20" s="215"/>
    </row>
    <row r="21" spans="1:3" ht="15" customHeight="1" thickBot="1" x14ac:dyDescent="0.35">
      <c r="A21" s="212"/>
      <c r="B21" s="319"/>
      <c r="C21" s="215"/>
    </row>
    <row r="22" spans="1:3" ht="16.8" thickTop="1" thickBot="1" x14ac:dyDescent="0.35">
      <c r="A22" s="212"/>
      <c r="B22" s="213"/>
      <c r="C22" s="215"/>
    </row>
    <row r="23" spans="1:3" ht="15" customHeight="1" thickTop="1" x14ac:dyDescent="0.3">
      <c r="A23" s="212"/>
      <c r="B23" s="318" t="s">
        <v>268</v>
      </c>
      <c r="C23" s="215"/>
    </row>
    <row r="24" spans="1:3" ht="15" customHeight="1" thickBot="1" x14ac:dyDescent="0.35">
      <c r="A24" s="212"/>
      <c r="B24" s="319"/>
      <c r="C24" s="215"/>
    </row>
    <row r="25" spans="1:3" ht="16.8" thickTop="1" thickBot="1" x14ac:dyDescent="0.35">
      <c r="A25" s="212"/>
      <c r="B25" s="213"/>
      <c r="C25" s="215"/>
    </row>
    <row r="26" spans="1:3" ht="15" customHeight="1" thickTop="1" x14ac:dyDescent="0.3">
      <c r="A26" s="212"/>
      <c r="B26" s="318" t="s">
        <v>269</v>
      </c>
      <c r="C26" s="215"/>
    </row>
    <row r="27" spans="1:3" ht="15" customHeight="1" thickBot="1" x14ac:dyDescent="0.35">
      <c r="A27" s="212"/>
      <c r="B27" s="319"/>
      <c r="C27" s="215"/>
    </row>
    <row r="28" spans="1:3" ht="16.8" thickTop="1" thickBot="1" x14ac:dyDescent="0.35">
      <c r="A28" s="212"/>
      <c r="B28" s="213"/>
      <c r="C28" s="215"/>
    </row>
    <row r="29" spans="1:3" ht="15" customHeight="1" thickTop="1" x14ac:dyDescent="0.3">
      <c r="A29" s="212"/>
      <c r="B29" s="318" t="s">
        <v>270</v>
      </c>
      <c r="C29" s="215"/>
    </row>
    <row r="30" spans="1:3" ht="15" customHeight="1" thickBot="1" x14ac:dyDescent="0.35">
      <c r="A30" s="212"/>
      <c r="B30" s="319"/>
      <c r="C30" s="215"/>
    </row>
    <row r="31" spans="1:3" ht="16.8" thickTop="1" thickBot="1" x14ac:dyDescent="0.35">
      <c r="A31" s="212"/>
      <c r="B31" s="213"/>
      <c r="C31" s="215"/>
    </row>
    <row r="32" spans="1:3" ht="15" customHeight="1" thickTop="1" x14ac:dyDescent="0.3">
      <c r="A32" s="212"/>
      <c r="B32" s="318" t="s">
        <v>271</v>
      </c>
      <c r="C32" s="215"/>
    </row>
    <row r="33" spans="1:3" ht="15" customHeight="1" thickBot="1" x14ac:dyDescent="0.35">
      <c r="A33" s="212"/>
      <c r="B33" s="319"/>
      <c r="C33" s="215"/>
    </row>
    <row r="34" spans="1:3" ht="16.8" thickTop="1" thickBot="1" x14ac:dyDescent="0.35">
      <c r="A34" s="212"/>
      <c r="B34" s="213"/>
      <c r="C34" s="215"/>
    </row>
    <row r="35" spans="1:3" ht="15" customHeight="1" thickTop="1" x14ac:dyDescent="0.3">
      <c r="A35" s="212"/>
      <c r="B35" s="318" t="s">
        <v>272</v>
      </c>
      <c r="C35" s="215"/>
    </row>
    <row r="36" spans="1:3" ht="15" customHeight="1" thickBot="1" x14ac:dyDescent="0.35">
      <c r="A36" s="212"/>
      <c r="B36" s="319"/>
      <c r="C36" s="215"/>
    </row>
    <row r="37" spans="1:3" ht="16.8" thickTop="1" thickBot="1" x14ac:dyDescent="0.35">
      <c r="A37" s="212"/>
      <c r="B37" s="213"/>
      <c r="C37" s="215"/>
    </row>
    <row r="38" spans="1:3" ht="15" customHeight="1" thickTop="1" x14ac:dyDescent="0.3">
      <c r="A38" s="212"/>
      <c r="B38" s="318" t="s">
        <v>273</v>
      </c>
      <c r="C38" s="215"/>
    </row>
    <row r="39" spans="1:3" ht="15" customHeight="1" thickBot="1" x14ac:dyDescent="0.35">
      <c r="A39" s="212"/>
      <c r="B39" s="319"/>
      <c r="C39" s="215"/>
    </row>
    <row r="40" spans="1:3" ht="16.8" thickTop="1" thickBot="1" x14ac:dyDescent="0.35">
      <c r="A40" s="212"/>
      <c r="B40" s="213"/>
      <c r="C40" s="215"/>
    </row>
    <row r="41" spans="1:3" ht="15" customHeight="1" thickTop="1" x14ac:dyDescent="0.3">
      <c r="A41" s="212"/>
      <c r="B41" s="318" t="s">
        <v>274</v>
      </c>
      <c r="C41" s="215"/>
    </row>
    <row r="42" spans="1:3" ht="15" customHeight="1" thickBot="1" x14ac:dyDescent="0.35">
      <c r="A42" s="212"/>
      <c r="B42" s="319"/>
      <c r="C42" s="215"/>
    </row>
    <row r="43" spans="1:3" ht="16.8" thickTop="1" thickBot="1" x14ac:dyDescent="0.35">
      <c r="A43" s="212"/>
      <c r="B43" s="213"/>
      <c r="C43" s="215"/>
    </row>
    <row r="44" spans="1:3" ht="15" customHeight="1" thickTop="1" x14ac:dyDescent="0.3">
      <c r="A44" s="212"/>
      <c r="B44" s="318" t="s">
        <v>275</v>
      </c>
      <c r="C44" s="215"/>
    </row>
    <row r="45" spans="1:3" ht="15" customHeight="1" thickBot="1" x14ac:dyDescent="0.35">
      <c r="A45" s="212"/>
      <c r="B45" s="319"/>
      <c r="C45" s="215"/>
    </row>
    <row r="46" spans="1:3" ht="16.8" thickTop="1" thickBot="1" x14ac:dyDescent="0.35">
      <c r="A46" s="212"/>
      <c r="B46" s="213"/>
      <c r="C46" s="215"/>
    </row>
    <row r="47" spans="1:3" ht="15" customHeight="1" thickTop="1" x14ac:dyDescent="0.3">
      <c r="A47" s="212"/>
      <c r="B47" s="318" t="s">
        <v>276</v>
      </c>
      <c r="C47" s="215"/>
    </row>
    <row r="48" spans="1:3" ht="15" customHeight="1" thickBot="1" x14ac:dyDescent="0.35">
      <c r="A48" s="212"/>
      <c r="B48" s="319"/>
      <c r="C48" s="215"/>
    </row>
    <row r="49" spans="1:3" ht="16.8" thickTop="1" thickBot="1" x14ac:dyDescent="0.35">
      <c r="A49" s="212"/>
      <c r="B49" s="213"/>
      <c r="C49" s="215"/>
    </row>
    <row r="50" spans="1:3" ht="15" customHeight="1" thickTop="1" x14ac:dyDescent="0.3">
      <c r="A50" s="212"/>
      <c r="B50" s="318" t="s">
        <v>277</v>
      </c>
      <c r="C50" s="215"/>
    </row>
    <row r="51" spans="1:3" ht="15" customHeight="1" thickBot="1" x14ac:dyDescent="0.35">
      <c r="A51" s="212"/>
      <c r="B51" s="319"/>
      <c r="C51" s="215"/>
    </row>
    <row r="52" spans="1:3" ht="16.2" thickTop="1" x14ac:dyDescent="0.3">
      <c r="A52" s="212"/>
      <c r="B52" s="213"/>
      <c r="C52" s="215"/>
    </row>
    <row r="53" spans="1:3" x14ac:dyDescent="0.3">
      <c r="A53" s="212"/>
      <c r="B53" s="213"/>
      <c r="C53" s="215"/>
    </row>
    <row r="54" spans="1:3" x14ac:dyDescent="0.3">
      <c r="A54" s="212"/>
      <c r="B54" s="231"/>
      <c r="C54" s="215"/>
    </row>
    <row r="55" spans="1:3" x14ac:dyDescent="0.3">
      <c r="A55" s="212"/>
      <c r="B55" s="231"/>
      <c r="C55" s="215"/>
    </row>
    <row r="56" spans="1:3" x14ac:dyDescent="0.3">
      <c r="A56" s="212"/>
      <c r="B56" s="213"/>
      <c r="C56" s="215"/>
    </row>
    <row r="57" spans="1:3" x14ac:dyDescent="0.3">
      <c r="A57" s="212"/>
      <c r="B57" s="213"/>
      <c r="C57" s="215"/>
    </row>
    <row r="58" spans="1:3" x14ac:dyDescent="0.3">
      <c r="A58" s="212"/>
      <c r="B58" s="213"/>
      <c r="C58" s="215"/>
    </row>
    <row r="59" spans="1:3" x14ac:dyDescent="0.3">
      <c r="A59" s="212"/>
      <c r="B59" s="213"/>
      <c r="C59" s="215"/>
    </row>
    <row r="60" spans="1:3" x14ac:dyDescent="0.3">
      <c r="A60" s="212"/>
      <c r="B60" s="213"/>
      <c r="C60" s="215"/>
    </row>
    <row r="61" spans="1:3" x14ac:dyDescent="0.3">
      <c r="A61" s="212"/>
      <c r="B61" s="213"/>
      <c r="C61" s="215"/>
    </row>
    <row r="62" spans="1:3" x14ac:dyDescent="0.3">
      <c r="A62" s="212"/>
      <c r="B62" s="213"/>
      <c r="C62" s="215"/>
    </row>
    <row r="63" spans="1:3" x14ac:dyDescent="0.3">
      <c r="A63" s="212"/>
      <c r="B63" s="213"/>
      <c r="C63" s="215"/>
    </row>
    <row r="64" spans="1:3" x14ac:dyDescent="0.3">
      <c r="A64" s="212"/>
      <c r="B64" s="213"/>
      <c r="C64" s="215"/>
    </row>
    <row r="65" spans="1:3" x14ac:dyDescent="0.3">
      <c r="A65" s="212"/>
      <c r="B65" s="213"/>
      <c r="C65" s="215"/>
    </row>
    <row r="66" spans="1:3" x14ac:dyDescent="0.3">
      <c r="A66" s="212"/>
      <c r="B66" s="213"/>
      <c r="C66" s="215"/>
    </row>
    <row r="67" spans="1:3" x14ac:dyDescent="0.3">
      <c r="A67" s="212"/>
      <c r="B67" s="213"/>
      <c r="C67" s="215"/>
    </row>
    <row r="68" spans="1:3" x14ac:dyDescent="0.3">
      <c r="A68" s="212"/>
      <c r="B68" s="213"/>
      <c r="C68" s="215"/>
    </row>
    <row r="69" spans="1:3" x14ac:dyDescent="0.3">
      <c r="A69" s="212"/>
      <c r="B69" s="213"/>
      <c r="C69" s="215"/>
    </row>
    <row r="70" spans="1:3" x14ac:dyDescent="0.3">
      <c r="A70" s="212"/>
      <c r="B70" s="213"/>
      <c r="C70" s="215"/>
    </row>
    <row r="71" spans="1:3" x14ac:dyDescent="0.3">
      <c r="A71" s="212"/>
      <c r="B71" s="213"/>
      <c r="C71" s="215"/>
    </row>
    <row r="72" spans="1:3" x14ac:dyDescent="0.3">
      <c r="A72" s="212"/>
      <c r="B72" s="213"/>
      <c r="C72" s="215"/>
    </row>
    <row r="73" spans="1:3" x14ac:dyDescent="0.3">
      <c r="C73" s="218"/>
    </row>
    <row r="74" spans="1:3" x14ac:dyDescent="0.3">
      <c r="C74" s="218"/>
    </row>
    <row r="75" spans="1:3" x14ac:dyDescent="0.3">
      <c r="C75" s="218"/>
    </row>
    <row r="76" spans="1:3" x14ac:dyDescent="0.3">
      <c r="C76" s="218"/>
    </row>
    <row r="77" spans="1:3" x14ac:dyDescent="0.3">
      <c r="C77" s="218"/>
    </row>
    <row r="78" spans="1:3" x14ac:dyDescent="0.3">
      <c r="C78" s="218"/>
    </row>
    <row r="79" spans="1:3" x14ac:dyDescent="0.3">
      <c r="C79" s="218"/>
    </row>
    <row r="80" spans="1:3" x14ac:dyDescent="0.3">
      <c r="C80" s="218"/>
    </row>
    <row r="81" spans="3:3" x14ac:dyDescent="0.3">
      <c r="C81" s="218"/>
    </row>
    <row r="82" spans="3:3" x14ac:dyDescent="0.3">
      <c r="C82" s="218"/>
    </row>
    <row r="83" spans="3:3" x14ac:dyDescent="0.3">
      <c r="C83" s="218"/>
    </row>
    <row r="84" spans="3:3" x14ac:dyDescent="0.3">
      <c r="C84" s="218"/>
    </row>
    <row r="85" spans="3:3" x14ac:dyDescent="0.3">
      <c r="C85" s="218"/>
    </row>
    <row r="86" spans="3:3" x14ac:dyDescent="0.3">
      <c r="C86" s="218"/>
    </row>
    <row r="87" spans="3:3" x14ac:dyDescent="0.3">
      <c r="C87" s="218"/>
    </row>
    <row r="88" spans="3:3" x14ac:dyDescent="0.3">
      <c r="C88" s="218"/>
    </row>
    <row r="89" spans="3:3" x14ac:dyDescent="0.3">
      <c r="C89" s="218"/>
    </row>
    <row r="90" spans="3:3" x14ac:dyDescent="0.3">
      <c r="C90" s="218"/>
    </row>
    <row r="91" spans="3:3" x14ac:dyDescent="0.3">
      <c r="C91" s="218"/>
    </row>
    <row r="92" spans="3:3" x14ac:dyDescent="0.3">
      <c r="C92" s="218"/>
    </row>
    <row r="93" spans="3:3" x14ac:dyDescent="0.3">
      <c r="C93" s="218"/>
    </row>
    <row r="94" spans="3:3" x14ac:dyDescent="0.3">
      <c r="C94" s="218"/>
    </row>
    <row r="95" spans="3:3" x14ac:dyDescent="0.3">
      <c r="C95" s="218"/>
    </row>
    <row r="96" spans="3:3" x14ac:dyDescent="0.3">
      <c r="C96" s="218"/>
    </row>
    <row r="97" spans="3:3" x14ac:dyDescent="0.3">
      <c r="C97" s="218"/>
    </row>
    <row r="98" spans="3:3" x14ac:dyDescent="0.3">
      <c r="C98" s="218"/>
    </row>
    <row r="99" spans="3:3" x14ac:dyDescent="0.3">
      <c r="C99" s="218"/>
    </row>
    <row r="100" spans="3:3" x14ac:dyDescent="0.3">
      <c r="C100" s="218"/>
    </row>
    <row r="101" spans="3:3" x14ac:dyDescent="0.3">
      <c r="C101" s="218"/>
    </row>
    <row r="102" spans="3:3" x14ac:dyDescent="0.3">
      <c r="C102" s="218"/>
    </row>
    <row r="103" spans="3:3" x14ac:dyDescent="0.3">
      <c r="C103" s="218"/>
    </row>
    <row r="104" spans="3:3" x14ac:dyDescent="0.3">
      <c r="C104" s="218"/>
    </row>
    <row r="105" spans="3:3" x14ac:dyDescent="0.3">
      <c r="C105" s="218"/>
    </row>
    <row r="106" spans="3:3" x14ac:dyDescent="0.3">
      <c r="C106" s="218"/>
    </row>
    <row r="107" spans="3:3" x14ac:dyDescent="0.3">
      <c r="C107" s="218"/>
    </row>
    <row r="108" spans="3:3" x14ac:dyDescent="0.3">
      <c r="C108" s="218"/>
    </row>
    <row r="109" spans="3:3" x14ac:dyDescent="0.3">
      <c r="C109" s="218"/>
    </row>
    <row r="110" spans="3:3" x14ac:dyDescent="0.3">
      <c r="C110" s="218"/>
    </row>
    <row r="111" spans="3:3" x14ac:dyDescent="0.3">
      <c r="C111" s="218"/>
    </row>
    <row r="112" spans="3:3" x14ac:dyDescent="0.3">
      <c r="C112" s="218"/>
    </row>
    <row r="113" spans="3:3" x14ac:dyDescent="0.3">
      <c r="C113" s="218"/>
    </row>
    <row r="114" spans="3:3" x14ac:dyDescent="0.3">
      <c r="C114" s="218"/>
    </row>
    <row r="115" spans="3:3" x14ac:dyDescent="0.3">
      <c r="C115" s="218"/>
    </row>
    <row r="116" spans="3:3" x14ac:dyDescent="0.3">
      <c r="C116" s="218"/>
    </row>
    <row r="117" spans="3:3" x14ac:dyDescent="0.3">
      <c r="C117" s="218"/>
    </row>
    <row r="118" spans="3:3" x14ac:dyDescent="0.3">
      <c r="C118" s="218"/>
    </row>
    <row r="119" spans="3:3" x14ac:dyDescent="0.3">
      <c r="C119" s="218"/>
    </row>
    <row r="120" spans="3:3" x14ac:dyDescent="0.3">
      <c r="C120" s="218"/>
    </row>
    <row r="121" spans="3:3" x14ac:dyDescent="0.3">
      <c r="C121" s="218"/>
    </row>
    <row r="122" spans="3:3" x14ac:dyDescent="0.3">
      <c r="C122" s="218"/>
    </row>
    <row r="123" spans="3:3" x14ac:dyDescent="0.3">
      <c r="C123" s="218"/>
    </row>
    <row r="124" spans="3:3" x14ac:dyDescent="0.3">
      <c r="C124" s="218"/>
    </row>
    <row r="125" spans="3:3" x14ac:dyDescent="0.3">
      <c r="C125" s="218"/>
    </row>
    <row r="126" spans="3:3" x14ac:dyDescent="0.3">
      <c r="C126" s="218"/>
    </row>
    <row r="127" spans="3:3" x14ac:dyDescent="0.3">
      <c r="C127" s="218"/>
    </row>
    <row r="128" spans="3:3" x14ac:dyDescent="0.3">
      <c r="C128" s="218"/>
    </row>
    <row r="129" spans="3:3" x14ac:dyDescent="0.3">
      <c r="C129" s="218"/>
    </row>
    <row r="130" spans="3:3" x14ac:dyDescent="0.3">
      <c r="C130" s="218"/>
    </row>
    <row r="131" spans="3:3" x14ac:dyDescent="0.3">
      <c r="C131" s="218"/>
    </row>
    <row r="132" spans="3:3" x14ac:dyDescent="0.3">
      <c r="C132" s="218"/>
    </row>
    <row r="133" spans="3:3" x14ac:dyDescent="0.3">
      <c r="C133" s="218"/>
    </row>
    <row r="134" spans="3:3" x14ac:dyDescent="0.3">
      <c r="C134" s="218"/>
    </row>
    <row r="135" spans="3:3" x14ac:dyDescent="0.3">
      <c r="C135" s="218"/>
    </row>
    <row r="136" spans="3:3" x14ac:dyDescent="0.3">
      <c r="C136" s="218"/>
    </row>
    <row r="137" spans="3:3" x14ac:dyDescent="0.3">
      <c r="C137" s="218"/>
    </row>
    <row r="138" spans="3:3" x14ac:dyDescent="0.3">
      <c r="C138" s="218"/>
    </row>
    <row r="139" spans="3:3" x14ac:dyDescent="0.3">
      <c r="C139" s="218"/>
    </row>
    <row r="140" spans="3:3" x14ac:dyDescent="0.3">
      <c r="C140" s="218"/>
    </row>
    <row r="141" spans="3:3" x14ac:dyDescent="0.3">
      <c r="C141" s="218"/>
    </row>
    <row r="142" spans="3:3" x14ac:dyDescent="0.3">
      <c r="C142" s="218"/>
    </row>
    <row r="143" spans="3:3" x14ac:dyDescent="0.3">
      <c r="C143" s="218"/>
    </row>
    <row r="144" spans="3:3" x14ac:dyDescent="0.3">
      <c r="C144" s="218"/>
    </row>
    <row r="145" spans="3:3" x14ac:dyDescent="0.3">
      <c r="C145" s="218"/>
    </row>
    <row r="146" spans="3:3" x14ac:dyDescent="0.3">
      <c r="C146" s="218"/>
    </row>
    <row r="147" spans="3:3" x14ac:dyDescent="0.3">
      <c r="C147" s="218"/>
    </row>
    <row r="148" spans="3:3" x14ac:dyDescent="0.3">
      <c r="C148" s="218"/>
    </row>
    <row r="149" spans="3:3" x14ac:dyDescent="0.3">
      <c r="C149" s="218"/>
    </row>
    <row r="150" spans="3:3" x14ac:dyDescent="0.3">
      <c r="C150" s="218"/>
    </row>
    <row r="151" spans="3:3" x14ac:dyDescent="0.3">
      <c r="C151" s="218"/>
    </row>
    <row r="152" spans="3:3" x14ac:dyDescent="0.3">
      <c r="C152" s="218"/>
    </row>
    <row r="153" spans="3:3" x14ac:dyDescent="0.3">
      <c r="C153" s="218"/>
    </row>
    <row r="154" spans="3:3" x14ac:dyDescent="0.3">
      <c r="C154" s="218"/>
    </row>
    <row r="155" spans="3:3" x14ac:dyDescent="0.3">
      <c r="C155" s="218"/>
    </row>
    <row r="156" spans="3:3" x14ac:dyDescent="0.3">
      <c r="C156" s="218"/>
    </row>
    <row r="157" spans="3:3" x14ac:dyDescent="0.3">
      <c r="C157" s="218"/>
    </row>
    <row r="158" spans="3:3" x14ac:dyDescent="0.3">
      <c r="C158" s="218"/>
    </row>
    <row r="159" spans="3:3" x14ac:dyDescent="0.3">
      <c r="C159" s="218"/>
    </row>
    <row r="160" spans="3:3" x14ac:dyDescent="0.3">
      <c r="C160" s="218"/>
    </row>
    <row r="161" spans="3:3" x14ac:dyDescent="0.3">
      <c r="C161" s="218"/>
    </row>
    <row r="162" spans="3:3" x14ac:dyDescent="0.3">
      <c r="C162" s="218"/>
    </row>
    <row r="163" spans="3:3" x14ac:dyDescent="0.3">
      <c r="C163" s="218"/>
    </row>
    <row r="164" spans="3:3" x14ac:dyDescent="0.3">
      <c r="C164" s="218"/>
    </row>
    <row r="165" spans="3:3" x14ac:dyDescent="0.3">
      <c r="C165" s="218"/>
    </row>
    <row r="166" spans="3:3" x14ac:dyDescent="0.3">
      <c r="C166" s="218"/>
    </row>
    <row r="167" spans="3:3" x14ac:dyDescent="0.3">
      <c r="C167" s="218"/>
    </row>
    <row r="168" spans="3:3" x14ac:dyDescent="0.3">
      <c r="C168" s="218"/>
    </row>
    <row r="169" spans="3:3" x14ac:dyDescent="0.3">
      <c r="C169" s="218"/>
    </row>
    <row r="170" spans="3:3" x14ac:dyDescent="0.3">
      <c r="C170" s="218"/>
    </row>
    <row r="171" spans="3:3" x14ac:dyDescent="0.3">
      <c r="C171" s="218"/>
    </row>
    <row r="172" spans="3:3" x14ac:dyDescent="0.3">
      <c r="C172" s="218"/>
    </row>
    <row r="173" spans="3:3" x14ac:dyDescent="0.3">
      <c r="C173" s="218"/>
    </row>
    <row r="174" spans="3:3" x14ac:dyDescent="0.3">
      <c r="C174" s="218"/>
    </row>
    <row r="175" spans="3:3" x14ac:dyDescent="0.3">
      <c r="C175" s="218"/>
    </row>
    <row r="176" spans="3:3" x14ac:dyDescent="0.3">
      <c r="C176" s="218"/>
    </row>
    <row r="177" spans="3:3" x14ac:dyDescent="0.3">
      <c r="C177" s="218"/>
    </row>
    <row r="178" spans="3:3" x14ac:dyDescent="0.3">
      <c r="C178" s="218"/>
    </row>
    <row r="179" spans="3:3" x14ac:dyDescent="0.3">
      <c r="C179" s="218"/>
    </row>
    <row r="180" spans="3:3" x14ac:dyDescent="0.3">
      <c r="C180" s="218"/>
    </row>
    <row r="181" spans="3:3" x14ac:dyDescent="0.3">
      <c r="C181" s="218"/>
    </row>
    <row r="182" spans="3:3" x14ac:dyDescent="0.3">
      <c r="C182" s="218"/>
    </row>
    <row r="183" spans="3:3" x14ac:dyDescent="0.3">
      <c r="C183" s="218"/>
    </row>
    <row r="184" spans="3:3" x14ac:dyDescent="0.3">
      <c r="C184" s="218"/>
    </row>
    <row r="185" spans="3:3" x14ac:dyDescent="0.3">
      <c r="C185" s="218"/>
    </row>
    <row r="186" spans="3:3" x14ac:dyDescent="0.3">
      <c r="C186" s="218"/>
    </row>
    <row r="187" spans="3:3" x14ac:dyDescent="0.3">
      <c r="C187" s="218"/>
    </row>
    <row r="188" spans="3:3" x14ac:dyDescent="0.3">
      <c r="C188" s="218"/>
    </row>
    <row r="189" spans="3:3" x14ac:dyDescent="0.3">
      <c r="C189" s="218"/>
    </row>
    <row r="190" spans="3:3" x14ac:dyDescent="0.3">
      <c r="C190" s="218"/>
    </row>
    <row r="191" spans="3:3" x14ac:dyDescent="0.3">
      <c r="C191" s="218"/>
    </row>
    <row r="192" spans="3:3" x14ac:dyDescent="0.3">
      <c r="C192" s="218"/>
    </row>
    <row r="193" spans="3:3" x14ac:dyDescent="0.3">
      <c r="C193" s="218"/>
    </row>
    <row r="194" spans="3:3" x14ac:dyDescent="0.3">
      <c r="C194" s="218"/>
    </row>
    <row r="195" spans="3:3" x14ac:dyDescent="0.3">
      <c r="C195" s="218"/>
    </row>
    <row r="196" spans="3:3" x14ac:dyDescent="0.3">
      <c r="C196" s="218"/>
    </row>
    <row r="197" spans="3:3" x14ac:dyDescent="0.3">
      <c r="C197" s="218"/>
    </row>
    <row r="198" spans="3:3" x14ac:dyDescent="0.3">
      <c r="C198" s="218"/>
    </row>
    <row r="199" spans="3:3" x14ac:dyDescent="0.3">
      <c r="C199" s="218"/>
    </row>
    <row r="200" spans="3:3" x14ac:dyDescent="0.3">
      <c r="C200" s="218"/>
    </row>
    <row r="201" spans="3:3" x14ac:dyDescent="0.3">
      <c r="C201" s="218"/>
    </row>
    <row r="202" spans="3:3" x14ac:dyDescent="0.3">
      <c r="C202" s="218"/>
    </row>
    <row r="203" spans="3:3" x14ac:dyDescent="0.3">
      <c r="C203" s="218"/>
    </row>
    <row r="204" spans="3:3" x14ac:dyDescent="0.3">
      <c r="C204" s="218"/>
    </row>
    <row r="205" spans="3:3" x14ac:dyDescent="0.3">
      <c r="C205" s="218"/>
    </row>
    <row r="206" spans="3:3" x14ac:dyDescent="0.3">
      <c r="C206" s="218"/>
    </row>
    <row r="207" spans="3:3" x14ac:dyDescent="0.3">
      <c r="C207" s="218"/>
    </row>
    <row r="208" spans="3:3" x14ac:dyDescent="0.3">
      <c r="C208" s="218"/>
    </row>
    <row r="209" spans="3:3" x14ac:dyDescent="0.3">
      <c r="C209" s="218"/>
    </row>
    <row r="210" spans="3:3" x14ac:dyDescent="0.3">
      <c r="C210" s="218"/>
    </row>
    <row r="211" spans="3:3" x14ac:dyDescent="0.3">
      <c r="C211" s="218"/>
    </row>
    <row r="212" spans="3:3" x14ac:dyDescent="0.3">
      <c r="C212" s="218"/>
    </row>
    <row r="213" spans="3:3" x14ac:dyDescent="0.3">
      <c r="C213" s="218"/>
    </row>
    <row r="214" spans="3:3" x14ac:dyDescent="0.3">
      <c r="C214" s="218"/>
    </row>
    <row r="215" spans="3:3" x14ac:dyDescent="0.3">
      <c r="C215" s="218"/>
    </row>
    <row r="216" spans="3:3" x14ac:dyDescent="0.3">
      <c r="C216" s="218"/>
    </row>
    <row r="217" spans="3:3" x14ac:dyDescent="0.3">
      <c r="C217" s="218"/>
    </row>
    <row r="218" spans="3:3" x14ac:dyDescent="0.3">
      <c r="C218" s="218"/>
    </row>
    <row r="219" spans="3:3" x14ac:dyDescent="0.3">
      <c r="C219" s="218"/>
    </row>
    <row r="220" spans="3:3" x14ac:dyDescent="0.3">
      <c r="C220" s="218"/>
    </row>
    <row r="221" spans="3:3" x14ac:dyDescent="0.3">
      <c r="C221" s="218"/>
    </row>
    <row r="222" spans="3:3" x14ac:dyDescent="0.3">
      <c r="C222" s="218"/>
    </row>
    <row r="223" spans="3:3" x14ac:dyDescent="0.3">
      <c r="C223" s="218"/>
    </row>
    <row r="224" spans="3:3" x14ac:dyDescent="0.3">
      <c r="C224" s="218"/>
    </row>
    <row r="225" spans="3:3" x14ac:dyDescent="0.3">
      <c r="C225" s="218"/>
    </row>
    <row r="226" spans="3:3" x14ac:dyDescent="0.3">
      <c r="C226" s="218"/>
    </row>
    <row r="227" spans="3:3" x14ac:dyDescent="0.3">
      <c r="C227" s="218"/>
    </row>
    <row r="228" spans="3:3" x14ac:dyDescent="0.3">
      <c r="C228" s="218"/>
    </row>
    <row r="229" spans="3:3" x14ac:dyDescent="0.3">
      <c r="C229" s="218"/>
    </row>
    <row r="230" spans="3:3" x14ac:dyDescent="0.3">
      <c r="C230" s="218"/>
    </row>
    <row r="231" spans="3:3" x14ac:dyDescent="0.3">
      <c r="C231" s="218"/>
    </row>
    <row r="232" spans="3:3" x14ac:dyDescent="0.3">
      <c r="C232" s="218"/>
    </row>
    <row r="233" spans="3:3" x14ac:dyDescent="0.3">
      <c r="C233" s="218"/>
    </row>
    <row r="234" spans="3:3" x14ac:dyDescent="0.3">
      <c r="C234" s="218"/>
    </row>
    <row r="235" spans="3:3" x14ac:dyDescent="0.3">
      <c r="C235" s="218"/>
    </row>
    <row r="236" spans="3:3" x14ac:dyDescent="0.3">
      <c r="C236" s="218"/>
    </row>
    <row r="237" spans="3:3" x14ac:dyDescent="0.3">
      <c r="C237" s="218"/>
    </row>
    <row r="238" spans="3:3" x14ac:dyDescent="0.3">
      <c r="C238" s="218"/>
    </row>
    <row r="239" spans="3:3" x14ac:dyDescent="0.3">
      <c r="C239" s="218"/>
    </row>
    <row r="240" spans="3:3" x14ac:dyDescent="0.3">
      <c r="C240" s="218"/>
    </row>
    <row r="241" spans="3:3" x14ac:dyDescent="0.3">
      <c r="C241" s="218"/>
    </row>
    <row r="242" spans="3:3" x14ac:dyDescent="0.3">
      <c r="C242" s="218"/>
    </row>
    <row r="243" spans="3:3" x14ac:dyDescent="0.3">
      <c r="C243" s="218"/>
    </row>
    <row r="244" spans="3:3" x14ac:dyDescent="0.3">
      <c r="C244" s="218"/>
    </row>
    <row r="245" spans="3:3" x14ac:dyDescent="0.3">
      <c r="C245" s="218"/>
    </row>
    <row r="246" spans="3:3" x14ac:dyDescent="0.3">
      <c r="C246" s="218"/>
    </row>
    <row r="247" spans="3:3" x14ac:dyDescent="0.3">
      <c r="C247" s="218"/>
    </row>
    <row r="248" spans="3:3" x14ac:dyDescent="0.3">
      <c r="C248" s="218"/>
    </row>
    <row r="249" spans="3:3" x14ac:dyDescent="0.3">
      <c r="C249" s="218"/>
    </row>
    <row r="250" spans="3:3" x14ac:dyDescent="0.3">
      <c r="C250" s="218"/>
    </row>
    <row r="251" spans="3:3" x14ac:dyDescent="0.3">
      <c r="C251" s="218"/>
    </row>
    <row r="252" spans="3:3" x14ac:dyDescent="0.3">
      <c r="C252" s="218"/>
    </row>
    <row r="253" spans="3:3" x14ac:dyDescent="0.3">
      <c r="C253" s="218"/>
    </row>
    <row r="254" spans="3:3" x14ac:dyDescent="0.3">
      <c r="C254" s="218"/>
    </row>
    <row r="255" spans="3:3" x14ac:dyDescent="0.3">
      <c r="C255" s="218"/>
    </row>
    <row r="256" spans="3:3" x14ac:dyDescent="0.3">
      <c r="C256" s="218"/>
    </row>
    <row r="257" spans="3:3" x14ac:dyDescent="0.3">
      <c r="C257" s="218"/>
    </row>
    <row r="258" spans="3:3" x14ac:dyDescent="0.3">
      <c r="C258" s="218"/>
    </row>
    <row r="259" spans="3:3" x14ac:dyDescent="0.3">
      <c r="C259" s="218"/>
    </row>
  </sheetData>
  <mergeCells count="17">
    <mergeCell ref="B35:B36"/>
    <mergeCell ref="B2:B3"/>
    <mergeCell ref="B5:B6"/>
    <mergeCell ref="B8:B9"/>
    <mergeCell ref="B11:B12"/>
    <mergeCell ref="B14:B15"/>
    <mergeCell ref="B17:B18"/>
    <mergeCell ref="B20:B21"/>
    <mergeCell ref="B23:B24"/>
    <mergeCell ref="B26:B27"/>
    <mergeCell ref="B29:B30"/>
    <mergeCell ref="B32:B33"/>
    <mergeCell ref="B38:B39"/>
    <mergeCell ref="B41:B42"/>
    <mergeCell ref="B44:B45"/>
    <mergeCell ref="B47:B48"/>
    <mergeCell ref="B50:B51"/>
  </mergeCells>
  <hyperlinks>
    <hyperlink ref="B2" location="Panel!C4" display="HOME" xr:uid="{C81C8B24-7B08-48D8-A6A2-C7A0A16A9040}"/>
    <hyperlink ref="B5" location="Panel!C4" display="HOME" xr:uid="{8DD38431-43FE-4A64-A26A-EC7791B0C649}"/>
    <hyperlink ref="B17" location="Panel!C4" display="HOME" xr:uid="{00494CF4-836B-48EC-B2D8-07F1A92674FD}"/>
    <hyperlink ref="B20" location="Panel!C4" display="HOME" xr:uid="{592885BD-5F84-4155-8780-AE00C8CC376D}"/>
    <hyperlink ref="B23" location="Panel!C4" display="HOME" xr:uid="{FA9A81F5-A29D-409B-950D-832168C5C93B}"/>
    <hyperlink ref="B5:B6" location="data_formula_legend!A1" display="DATA" xr:uid="{47636DA6-4023-40D7-B798-88D57E9AF086}"/>
    <hyperlink ref="B17:B18" location="day_1!A1" display="DAY 1" xr:uid="{B349D20F-E850-4ED5-83EF-C1822AB689B9}"/>
    <hyperlink ref="B8" location="Panel!C4" display="HOME" xr:uid="{4CC16559-F816-41C9-924B-813B89A74619}"/>
    <hyperlink ref="B8:B9" location="Runsheet!A1" display="RUNSHEET" xr:uid="{FDA365AA-45EE-4A1B-B913-8BF0FAA59A3F}"/>
    <hyperlink ref="B20:B21" location="day_2!A1" display="DAY 2" xr:uid="{E7465712-E5C4-4FBA-823F-653597003442}"/>
    <hyperlink ref="B23:B24" location="day_3!A1" display="DAY 3" xr:uid="{191F0E74-33B7-4C92-B74C-42A2042534C6}"/>
    <hyperlink ref="B2:B3" location="HOME!A1" display="HOME" xr:uid="{F75E5B08-6017-4C64-86B7-8D76F0542BCE}"/>
    <hyperlink ref="B26" location="Panel!C4" display="HOME" xr:uid="{B02EF5AB-5480-4823-AE25-C9DDC695D5B7}"/>
    <hyperlink ref="B26:B27" location="day_5!A1" display="DAY 4" xr:uid="{F8A82E6B-697D-4005-BE2C-4DF500562A99}"/>
    <hyperlink ref="B29" location="Panel!C4" display="HOME" xr:uid="{4ABD7532-2BD7-4848-8760-5E26E16F0984}"/>
    <hyperlink ref="B29:B30" location="day_5!A1" display="DAY 5" xr:uid="{5E434D89-1913-4616-8A01-3CD215EE157F}"/>
    <hyperlink ref="B32" location="Panel!C4" display="HOME" xr:uid="{67D71669-6558-4596-BEC9-217F207AFCA9}"/>
    <hyperlink ref="B32:B33" location="day_6!A1" display="DAY 6" xr:uid="{00C173C7-D037-4C58-867A-79B66BB069B2}"/>
    <hyperlink ref="B14:B15" location="'Food Serves'!A1" display="FOOD SERVES" xr:uid="{BFF4D9A3-981A-4E5F-A690-AB374560462B}"/>
    <hyperlink ref="B11:B12" location="'Rest Runsheet Food'!A1" display="RESTAURANT RUNSHEET" xr:uid="{FC3DF4BB-F633-443F-B400-FC05FBA0FEC6}"/>
    <hyperlink ref="B14" location="Panel!C4" display="HOME" xr:uid="{55852E07-C4FE-4351-85A8-7EEB5DBDEAD3}"/>
    <hyperlink ref="B11" location="Panel!C4" display="HOME" xr:uid="{4B815785-1D44-4AA3-B124-EDC2543F6C8E}"/>
    <hyperlink ref="B35" location="Panel!C4" display="HOME" xr:uid="{E28F9BF1-E918-413A-8291-7A08FF39D158}"/>
    <hyperlink ref="B35:B36" location="day_7!A1" display="DAY 7" xr:uid="{A1E11EC0-949D-4C3A-BE9C-1F1530D3017C}"/>
    <hyperlink ref="B38" location="Panel!C4" display="HOME" xr:uid="{45F979F2-ECF0-4F88-A0F9-245002248EBD}"/>
    <hyperlink ref="B38:B39" location="day_8!A1" display="DAY 8" xr:uid="{A095C9CC-258A-42CC-B850-E535F4BCE1D3}"/>
    <hyperlink ref="B41" location="Panel!C4" display="HOME" xr:uid="{DB020AEF-B5A7-4FB1-9191-89476BE060D8}"/>
    <hyperlink ref="B41:B42" location="day_9!A1" display="DAY 9" xr:uid="{63F4DE7B-85A4-4DEB-A9A9-A772C7910C6E}"/>
    <hyperlink ref="B44" location="Panel!C4" display="HOME" xr:uid="{0E13F229-8593-4BD1-8CF0-9F820F00FF16}"/>
    <hyperlink ref="B44:B45" location="day_10!A1" display="DAY 10" xr:uid="{98E364DA-2899-4148-9E99-4A3FBA8945AE}"/>
    <hyperlink ref="B47" location="Panel!C4" display="HOME" xr:uid="{90F57E84-E2DA-4FE8-BB7B-919C792A1222}"/>
    <hyperlink ref="B47:B48" location="day_11!A1" display="DAY 11" xr:uid="{BD71B94C-BA23-40C2-AB58-D851407E73CE}"/>
    <hyperlink ref="B50" location="Panel!C4" display="HOME" xr:uid="{D126416F-18FC-4D04-BA1D-E6A894F184FB}"/>
    <hyperlink ref="B50:B51" location="day_12!A1" display="DAY 12" xr:uid="{FABF5904-CC64-47B4-B2D3-36C0B146CEF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12</vt:i4>
      </vt:variant>
    </vt:vector>
  </HeadingPairs>
  <TitlesOfParts>
    <vt:vector size="32" baseType="lpstr">
      <vt:lpstr>HOME</vt:lpstr>
      <vt:lpstr>day_1</vt:lpstr>
      <vt:lpstr>day_2</vt:lpstr>
      <vt:lpstr>day_3</vt:lpstr>
      <vt:lpstr>day_4</vt:lpstr>
      <vt:lpstr>day_5</vt:lpstr>
      <vt:lpstr>day_6</vt:lpstr>
      <vt:lpstr>day_7</vt:lpstr>
      <vt:lpstr>day_8</vt:lpstr>
      <vt:lpstr>day_9</vt:lpstr>
      <vt:lpstr>day_10</vt:lpstr>
      <vt:lpstr>day_11</vt:lpstr>
      <vt:lpstr>day_12</vt:lpstr>
      <vt:lpstr>Food Serves</vt:lpstr>
      <vt:lpstr>Guide Food List</vt:lpstr>
      <vt:lpstr>Rest Runsheet Food</vt:lpstr>
      <vt:lpstr>Runsheet</vt:lpstr>
      <vt:lpstr>data_formula_legend</vt:lpstr>
      <vt:lpstr>research_links</vt:lpstr>
      <vt:lpstr>Sheet2</vt:lpstr>
      <vt:lpstr>day_1!Print_Area</vt:lpstr>
      <vt:lpstr>day_10!Print_Area</vt:lpstr>
      <vt:lpstr>day_11!Print_Area</vt:lpstr>
      <vt:lpstr>day_2!Print_Area</vt:lpstr>
      <vt:lpstr>day_3!Print_Area</vt:lpstr>
      <vt:lpstr>day_4!Print_Area</vt:lpstr>
      <vt:lpstr>day_5!Print_Area</vt:lpstr>
      <vt:lpstr>day_6!Print_Area</vt:lpstr>
      <vt:lpstr>day_7!Print_Area</vt:lpstr>
      <vt:lpstr>day_8!Print_Area</vt:lpstr>
      <vt:lpstr>day_9!Print_Area</vt:lpstr>
      <vt:lpstr>'Rest Runsheet Food'!Print_Area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 Kohn</dc:creator>
  <cp:lastModifiedBy>Josh Kohn</cp:lastModifiedBy>
  <cp:lastPrinted>2022-08-08T02:24:16Z</cp:lastPrinted>
  <dcterms:created xsi:type="dcterms:W3CDTF">2022-07-03T00:04:22Z</dcterms:created>
  <dcterms:modified xsi:type="dcterms:W3CDTF">2022-08-08T04:14:27Z</dcterms:modified>
</cp:coreProperties>
</file>